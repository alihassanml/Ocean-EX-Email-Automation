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s" sheetId="1" r:id="rId4"/>
  </sheets>
  <definedNames/>
  <calcPr/>
</workbook>
</file>

<file path=xl/sharedStrings.xml><?xml version="1.0" encoding="utf-8"?>
<sst xmlns="http://schemas.openxmlformats.org/spreadsheetml/2006/main" count="710" uniqueCount="520">
  <si>
    <t>First Name</t>
  </si>
  <si>
    <t>Last Name</t>
  </si>
  <si>
    <t>Company</t>
  </si>
  <si>
    <t>Title</t>
  </si>
  <si>
    <t>Email</t>
  </si>
  <si>
    <t>workPhone</t>
  </si>
  <si>
    <t>Address 1</t>
  </si>
  <si>
    <t>Address 2</t>
  </si>
  <si>
    <t>City</t>
  </si>
  <si>
    <t>Country</t>
  </si>
  <si>
    <t>Postal Code</t>
  </si>
  <si>
    <t>State</t>
  </si>
  <si>
    <t>Rating</t>
  </si>
  <si>
    <t>Next Actions</t>
  </si>
  <si>
    <t>Follow-Up</t>
  </si>
  <si>
    <t>Abdullah</t>
  </si>
  <si>
    <t>Jaragh</t>
  </si>
  <si>
    <t>Abdullah Jaragh</t>
  </si>
  <si>
    <t>Owner</t>
  </si>
  <si>
    <t>ayjq8@yahoo.com</t>
  </si>
  <si>
    <t>Hateen block 3 street 11building no. 82</t>
  </si>
  <si>
    <t>kuwait</t>
  </si>
  <si>
    <t>KW</t>
  </si>
  <si>
    <t>47743</t>
  </si>
  <si>
    <t/>
  </si>
  <si>
    <t>Adam</t>
  </si>
  <si>
    <t>Palfrey</t>
  </si>
  <si>
    <t>Tony Hart Household</t>
  </si>
  <si>
    <t>Director</t>
  </si>
  <si>
    <t>office@fundayltd.com</t>
  </si>
  <si>
    <t>Coppingers, West End Road</t>
  </si>
  <si>
    <t>Colchester</t>
  </si>
  <si>
    <t>GB</t>
  </si>
  <si>
    <t>Albert</t>
  </si>
  <si>
    <t>Hernando Barrio</t>
  </si>
  <si>
    <t>Albert Hernando Barrio</t>
  </si>
  <si>
    <t>Gerente</t>
  </si>
  <si>
    <t>info@mobilparc.net</t>
  </si>
  <si>
    <t>Calle Tordera, 12</t>
  </si>
  <si>
    <t>Premia De Dalt</t>
  </si>
  <si>
    <t>ES</t>
  </si>
  <si>
    <t>08338</t>
  </si>
  <si>
    <t>Alessandro</t>
  </si>
  <si>
    <t>Casadei</t>
  </si>
  <si>
    <t>Alessandro Casadei</t>
  </si>
  <si>
    <t>Manager</t>
  </si>
  <si>
    <t>info.casadei@gmail.com</t>
  </si>
  <si>
    <t>Magnum games</t>
  </si>
  <si>
    <t>Rimini</t>
  </si>
  <si>
    <t>IT</t>
  </si>
  <si>
    <t>61112</t>
  </si>
  <si>
    <t>IT-45</t>
  </si>
  <si>
    <t>Alex</t>
  </si>
  <si>
    <t>Varkados</t>
  </si>
  <si>
    <t>Alex Varkados</t>
  </si>
  <si>
    <t>varkados@otenet.gr</t>
  </si>
  <si>
    <t>Kivelis 37</t>
  </si>
  <si>
    <t>Markopouolo</t>
  </si>
  <si>
    <t>GR</t>
  </si>
  <si>
    <t>19003</t>
  </si>
  <si>
    <t>Alexander</t>
  </si>
  <si>
    <t>Lund</t>
  </si>
  <si>
    <t>Lund Gruppen</t>
  </si>
  <si>
    <t>alexjosephlund@gmail.com</t>
  </si>
  <si>
    <t>Jularp 150Höör</t>
  </si>
  <si>
    <t>Malmö</t>
  </si>
  <si>
    <t>IE</t>
  </si>
  <si>
    <t>ALEXANDROS</t>
  </si>
  <si>
    <t>AIDONOPOULOS</t>
  </si>
  <si>
    <t>ALEXANDROS AIDONOPOULOS Household</t>
  </si>
  <si>
    <t>Chief Executive Officer</t>
  </si>
  <si>
    <t>alexandros.aidonopoulos@gmail.com</t>
  </si>
  <si>
    <t>89 MAUROSSI</t>
  </si>
  <si>
    <t>ATHENS</t>
  </si>
  <si>
    <t>Andonis</t>
  </si>
  <si>
    <t>Xydias</t>
  </si>
  <si>
    <t>VALI Amusements Ltd</t>
  </si>
  <si>
    <t>Director - Owner</t>
  </si>
  <si>
    <t>antonisxydia@gmail.com</t>
  </si>
  <si>
    <t>Nissi Avenue</t>
  </si>
  <si>
    <t>Ayia Napa</t>
  </si>
  <si>
    <t>CY</t>
  </si>
  <si>
    <t>5330</t>
  </si>
  <si>
    <t>ANDREA VIRGINI Via</t>
  </si>
  <si>
    <t>ISOLE</t>
  </si>
  <si>
    <t>ANDREA VIRGINI Via ISOLE</t>
  </si>
  <si>
    <t>manager</t>
  </si>
  <si>
    <t>15302479816@163.com</t>
  </si>
  <si>
    <t>+351 938452696</t>
  </si>
  <si>
    <t>GONFIABILIANOLEGGIO</t>
  </si>
  <si>
    <t>20090</t>
  </si>
  <si>
    <t>ANDREAS</t>
  </si>
  <si>
    <t>STERGIOUDAS</t>
  </si>
  <si>
    <t>ANDREAS STERGIOUDAS</t>
  </si>
  <si>
    <t>PLAYGROUND</t>
  </si>
  <si>
    <t>andreas.stergioudas@yahoo.gr</t>
  </si>
  <si>
    <t>25, MAKRIS AVENUE</t>
  </si>
  <si>
    <t>ALEXANDROUPOLI</t>
  </si>
  <si>
    <t>68131</t>
  </si>
  <si>
    <t>GR-71</t>
  </si>
  <si>
    <t>Andreas</t>
  </si>
  <si>
    <t>Sveistrup</t>
  </si>
  <si>
    <t>Andreas Sveistrup</t>
  </si>
  <si>
    <t>andreas_sveistrup@hotmail.com</t>
  </si>
  <si>
    <t>Ringögatan 21</t>
  </si>
  <si>
    <t>Gothenburg</t>
  </si>
  <si>
    <t>SE</t>
  </si>
  <si>
    <t>414 07</t>
  </si>
  <si>
    <t>Anthony</t>
  </si>
  <si>
    <t>Sperlich</t>
  </si>
  <si>
    <t>Hualong Dino Works</t>
  </si>
  <si>
    <t>Senior Partner</t>
  </si>
  <si>
    <t>yoyozhang@bestdino.com</t>
  </si>
  <si>
    <t>+86 18808233714</t>
  </si>
  <si>
    <t>Rongchuan 2nd Road No.6, Hi-tech Industr</t>
  </si>
  <si>
    <t>Zigong City</t>
  </si>
  <si>
    <t>DE</t>
  </si>
  <si>
    <t>Vinhais</t>
  </si>
  <si>
    <t>Anthony Vinhais Household</t>
  </si>
  <si>
    <t>CEO</t>
  </si>
  <si>
    <t>anthony@scapeshow.fr</t>
  </si>
  <si>
    <t>7 rue du pré Garreau</t>
  </si>
  <si>
    <t>Lagny sur Marne</t>
  </si>
  <si>
    <t>FR</t>
  </si>
  <si>
    <t>Antonio</t>
  </si>
  <si>
    <t>Ing.</t>
  </si>
  <si>
    <t>Go Leisure Srl</t>
  </si>
  <si>
    <t>Research dept.</t>
  </si>
  <si>
    <t>info@go-leisure.com</t>
  </si>
  <si>
    <t>Via XXV Aprile, 3</t>
  </si>
  <si>
    <t>Macherio</t>
  </si>
  <si>
    <t>20846</t>
  </si>
  <si>
    <t>Ariane</t>
  </si>
  <si>
    <t>Sautreuil</t>
  </si>
  <si>
    <t>Sourcing Unicorns</t>
  </si>
  <si>
    <t>Operations Manager</t>
  </si>
  <si>
    <t>ariane@sourcingunicorns.com</t>
  </si>
  <si>
    <t>Calle sant Agustín 3, 3E</t>
  </si>
  <si>
    <t>Barcelona</t>
  </si>
  <si>
    <t>Arnand</t>
  </si>
  <si>
    <t>Comyn</t>
  </si>
  <si>
    <t>BOAZ</t>
  </si>
  <si>
    <t>President</t>
  </si>
  <si>
    <t>arnand.comyn@boaz-concept.fr</t>
  </si>
  <si>
    <t>36 Rue dHem</t>
  </si>
  <si>
    <t>Willems</t>
  </si>
  <si>
    <t>Arndt</t>
  </si>
  <si>
    <t>Sedler</t>
  </si>
  <si>
    <t>Arndt Sedler</t>
  </si>
  <si>
    <t>Vice President Entertainment</t>
  </si>
  <si>
    <t>arndt.sedler@aida.de</t>
  </si>
  <si>
    <t>Simon-von-Utrecht-Str. 1</t>
  </si>
  <si>
    <t>Hamburg</t>
  </si>
  <si>
    <t>20359</t>
  </si>
  <si>
    <t>Artur</t>
  </si>
  <si>
    <t>Mostowy</t>
  </si>
  <si>
    <t>Artur Mostowy</t>
  </si>
  <si>
    <t>artur.mostowy@gmail.com</t>
  </si>
  <si>
    <t>Tłumaczów</t>
  </si>
  <si>
    <t>Scinawka srednia</t>
  </si>
  <si>
    <t>PL</t>
  </si>
  <si>
    <t>57-410</t>
  </si>
  <si>
    <t>ARTUR</t>
  </si>
  <si>
    <t>MACIAK</t>
  </si>
  <si>
    <t>ARTUR MACIAK</t>
  </si>
  <si>
    <t>arturmaciak89@gmail.com</t>
  </si>
  <si>
    <t>Rymera 201</t>
  </si>
  <si>
    <t>Radlin</t>
  </si>
  <si>
    <t>44-310</t>
  </si>
  <si>
    <t>Azucena</t>
  </si>
  <si>
    <t>Carbelo</t>
  </si>
  <si>
    <t>FeelingsMagical sl</t>
  </si>
  <si>
    <t>Ceo</t>
  </si>
  <si>
    <t>comercial@madridsubastas.com</t>
  </si>
  <si>
    <t>Aloe 14</t>
  </si>
  <si>
    <t>Madrid</t>
  </si>
  <si>
    <t>Bernal Espectaculos</t>
  </si>
  <si>
    <t>S.L.U</t>
  </si>
  <si>
    <t>Angel Manuel Bernal Perez</t>
  </si>
  <si>
    <t>bernalespectaculos@gmail.com</t>
  </si>
  <si>
    <t>Alambique</t>
  </si>
  <si>
    <t>Rociana del Condado</t>
  </si>
  <si>
    <t>21720</t>
  </si>
  <si>
    <t>Bianca</t>
  </si>
  <si>
    <t>Biagioni</t>
  </si>
  <si>
    <t>Bianca Biagioni Household</t>
  </si>
  <si>
    <t>maggi@maggicontrols.com</t>
  </si>
  <si>
    <t>Via B. Verro 37/A</t>
  </si>
  <si>
    <t>milano</t>
  </si>
  <si>
    <t>20141</t>
  </si>
  <si>
    <t>IT-25</t>
  </si>
  <si>
    <t>Boursier</t>
  </si>
  <si>
    <t>Raynald</t>
  </si>
  <si>
    <t>Boursier Raynald Household</t>
  </si>
  <si>
    <t>Forain</t>
  </si>
  <si>
    <t>kimboursier@hotmail.com</t>
  </si>
  <si>
    <t>null</t>
  </si>
  <si>
    <t>Rue Roger Salengro</t>
  </si>
  <si>
    <t>Bruille</t>
  </si>
  <si>
    <t>59490</t>
  </si>
  <si>
    <t>Bradley</t>
  </si>
  <si>
    <t>Vulperhorst</t>
  </si>
  <si>
    <t>Bradley Vulperhorst Household</t>
  </si>
  <si>
    <t>Directeur</t>
  </si>
  <si>
    <t>info@jumpingzaanstad.nl</t>
  </si>
  <si>
    <t>Industrieweg 20b</t>
  </si>
  <si>
    <t>Wormerveer</t>
  </si>
  <si>
    <t>NL</t>
  </si>
  <si>
    <t>1521ND</t>
  </si>
  <si>
    <t>Bruno</t>
  </si>
  <si>
    <t>MORVANT</t>
  </si>
  <si>
    <t>Bruno MORVANT Household</t>
  </si>
  <si>
    <t>GENERAL MANAGER</t>
  </si>
  <si>
    <t>morvantbruno@gmail.com</t>
  </si>
  <si>
    <t>1985 CHEMIN DE LA VALLEE</t>
  </si>
  <si>
    <t>AUBAGNE</t>
  </si>
  <si>
    <t>13400</t>
  </si>
  <si>
    <t>Carl-Christian</t>
  </si>
  <si>
    <t>Schneider</t>
  </si>
  <si>
    <t>Dinosaurier-Park International GmbH &amp; Co. KG</t>
  </si>
  <si>
    <t>c.schneider@dinopark-international.de</t>
  </si>
  <si>
    <t>+49 (0)175 6735381</t>
  </si>
  <si>
    <t>Hannoversche Straße 23</t>
  </si>
  <si>
    <t>Rehburg-Loccum</t>
  </si>
  <si>
    <t>31547</t>
  </si>
  <si>
    <t>Carlos</t>
  </si>
  <si>
    <t>Gonçalves</t>
  </si>
  <si>
    <t>Carlos Gonçalves</t>
  </si>
  <si>
    <t>Proprietário</t>
  </si>
  <si>
    <t>gongaseventos@gmail.com</t>
  </si>
  <si>
    <t>Lugar de Ariz s/n</t>
  </si>
  <si>
    <t>Godim- Peso da Régua</t>
  </si>
  <si>
    <t>PT</t>
  </si>
  <si>
    <t>5050-104</t>
  </si>
  <si>
    <t>Carru</t>
  </si>
  <si>
    <t>Gianluca</t>
  </si>
  <si>
    <t>CARGUS SRL</t>
  </si>
  <si>
    <t>gusaiannachiara@tiscali.it</t>
  </si>
  <si>
    <t>undefined</t>
  </si>
  <si>
    <t>Via Sassari, 35</t>
  </si>
  <si>
    <t>Siniscola</t>
  </si>
  <si>
    <t>08029</t>
  </si>
  <si>
    <t>IT-NU</t>
  </si>
  <si>
    <t>CHARLOTTE</t>
  </si>
  <si>
    <t>LOUINEAU</t>
  </si>
  <si>
    <t>CHARLOTTE LOUINEAU</t>
  </si>
  <si>
    <t>charlotte.louineau@gmail.com</t>
  </si>
  <si>
    <t>ZI LA FRANCE7, ALLEE DE L'INDUSTRIE</t>
  </si>
  <si>
    <t>7 rue de l'Industrie</t>
  </si>
  <si>
    <t>VENANSAULT</t>
  </si>
  <si>
    <t>85190</t>
  </si>
  <si>
    <t>Christophe</t>
  </si>
  <si>
    <t>Rosiejak</t>
  </si>
  <si>
    <t>Christophe Rosiejak</t>
  </si>
  <si>
    <t>christophe@wowpark.fr</t>
  </si>
  <si>
    <t>3741 Chemin des Crêtes</t>
  </si>
  <si>
    <t>Urrugne</t>
  </si>
  <si>
    <t>64122</t>
  </si>
  <si>
    <t>craig</t>
  </si>
  <si>
    <t>Barnes</t>
  </si>
  <si>
    <t>craig Barnes</t>
  </si>
  <si>
    <t>craig33@event4fun.no</t>
  </si>
  <si>
    <t>herreperveien 2</t>
  </si>
  <si>
    <t>Frogner</t>
  </si>
  <si>
    <t>NO</t>
  </si>
  <si>
    <t>2016</t>
  </si>
  <si>
    <t>Cristina</t>
  </si>
  <si>
    <t>Vergara Almansa</t>
  </si>
  <si>
    <t>Andrei Iclozan</t>
  </si>
  <si>
    <t>hincharte@hotmail.com</t>
  </si>
  <si>
    <t>Castro Viejo, 27</t>
  </si>
  <si>
    <t>Bolaños De Calatrava</t>
  </si>
  <si>
    <t>13260</t>
  </si>
  <si>
    <t>David</t>
  </si>
  <si>
    <t>David LOUINEAU</t>
  </si>
  <si>
    <t>david1@envol-fr.com</t>
  </si>
  <si>
    <t>ZI La France - 7 allée de l'industrie, 8</t>
  </si>
  <si>
    <t>Dennis</t>
  </si>
  <si>
    <t>Pokorny</t>
  </si>
  <si>
    <t>Dennis Pokorny</t>
  </si>
  <si>
    <t>PARTY EQUIPMENT RENTAL BUSINESS</t>
  </si>
  <si>
    <t>dennis@smea.info</t>
  </si>
  <si>
    <t>Kothöferdamm 7</t>
  </si>
  <si>
    <t>Hannover</t>
  </si>
  <si>
    <t>30177</t>
  </si>
  <si>
    <t>Diego</t>
  </si>
  <si>
    <t>Ruiz</t>
  </si>
  <si>
    <t>Diego Ruiz</t>
  </si>
  <si>
    <t>STUDENT</t>
  </si>
  <si>
    <t>diegoruizsabio@hotmail.com</t>
  </si>
  <si>
    <t>Las ansinas 43</t>
  </si>
  <si>
    <t>Sant andreu de llavaneres</t>
  </si>
  <si>
    <t>08392</t>
  </si>
  <si>
    <t>EDUARDO</t>
  </si>
  <si>
    <t>GUTIERREZ DE ALBA</t>
  </si>
  <si>
    <t>Oceans Espectaculos SL</t>
  </si>
  <si>
    <t>grupooceanssevilla@gmail.com</t>
  </si>
  <si>
    <t>calle galeota 43</t>
  </si>
  <si>
    <t>alcala de guadaira</t>
  </si>
  <si>
    <t>41500</t>
  </si>
  <si>
    <t>Eelco</t>
  </si>
  <si>
    <t>Zweedijk</t>
  </si>
  <si>
    <t>Eelco Zweedijk</t>
  </si>
  <si>
    <t>owner</t>
  </si>
  <si>
    <t>eelco@bowlmore.nl</t>
  </si>
  <si>
    <t>Baanhoekweg 1</t>
  </si>
  <si>
    <t>Dordrecht</t>
  </si>
  <si>
    <t>3313LA</t>
  </si>
  <si>
    <t>NL-ZH</t>
  </si>
  <si>
    <t>El yahimdi hajjaj</t>
  </si>
  <si>
    <t>Rachid</t>
  </si>
  <si>
    <t>El yahimdi hajjaj Rachid</t>
  </si>
  <si>
    <t>ismaelelyahimdi@gmail.com</t>
  </si>
  <si>
    <t>Calle de Carlos Martín Álvarez, 15</t>
  </si>
  <si>
    <t>Alalpardo</t>
  </si>
  <si>
    <t>28130</t>
  </si>
  <si>
    <t>Emal</t>
  </si>
  <si>
    <t>Dawar</t>
  </si>
  <si>
    <t>Emal Dawar</t>
  </si>
  <si>
    <t>Lagersjef</t>
  </si>
  <si>
    <t>dawar72@gmail.com</t>
  </si>
  <si>
    <t>Tangenveien 16</t>
  </si>
  <si>
    <t>Drammen</t>
  </si>
  <si>
    <t>3060</t>
  </si>
  <si>
    <t>NO-06</t>
  </si>
  <si>
    <t>Enric</t>
  </si>
  <si>
    <t>Barea Olmos</t>
  </si>
  <si>
    <t>Enric Barea Olmos</t>
  </si>
  <si>
    <t>Soci</t>
  </si>
  <si>
    <t>enricapsd@gmail.com</t>
  </si>
  <si>
    <t>Proyecto 3 PPI2, 7, Pol Ind Sur, 46230</t>
  </si>
  <si>
    <t>Alginet</t>
  </si>
  <si>
    <t>46230</t>
  </si>
  <si>
    <t>Erwin</t>
  </si>
  <si>
    <t>Willmann</t>
  </si>
  <si>
    <t>Air-Joe Germany</t>
  </si>
  <si>
    <t>Stv. Geschäftsführer</t>
  </si>
  <si>
    <t>info@air-joe.de</t>
  </si>
  <si>
    <t>Öedenthaler Str. 3</t>
  </si>
  <si>
    <t>Zeitlarn</t>
  </si>
  <si>
    <t>Eulalia</t>
  </si>
  <si>
    <t>Canellas</t>
  </si>
  <si>
    <t>Oh!FX</t>
  </si>
  <si>
    <t>Export Manager</t>
  </si>
  <si>
    <t>international@ohfx.eu</t>
  </si>
  <si>
    <t>C. Indústria, 4</t>
  </si>
  <si>
    <t>Sant Martí De Centelles</t>
  </si>
  <si>
    <t>Felix</t>
  </si>
  <si>
    <t>Fester</t>
  </si>
  <si>
    <t>Felix Fester</t>
  </si>
  <si>
    <t>felix@yummy-one.com</t>
  </si>
  <si>
    <t>Herwarthstr. 12</t>
  </si>
  <si>
    <t>Berlin</t>
  </si>
  <si>
    <t>12207</t>
  </si>
  <si>
    <t>Fernando</t>
  </si>
  <si>
    <t>Fernandez Rico</t>
  </si>
  <si>
    <t>Scaperoomexperience S.L.</t>
  </si>
  <si>
    <t>COO</t>
  </si>
  <si>
    <t>fernando@experiencity.es</t>
  </si>
  <si>
    <t>C/ Tomás Borrás, 2</t>
  </si>
  <si>
    <t>28045</t>
  </si>
  <si>
    <t>Fiete</t>
  </si>
  <si>
    <t>Winter</t>
  </si>
  <si>
    <t>Marcel Kunkel</t>
  </si>
  <si>
    <t>Technican</t>
  </si>
  <si>
    <t>dinosaurierland@web.de</t>
  </si>
  <si>
    <t>Am Spycker See 2A</t>
  </si>
  <si>
    <t>Dinosaurierland Rügen</t>
  </si>
  <si>
    <t>18551, Glowe</t>
  </si>
  <si>
    <t>Fraissard</t>
  </si>
  <si>
    <t>Fraissard Anthony</t>
  </si>
  <si>
    <t>gerant</t>
  </si>
  <si>
    <t>sarlmariefrance@gmail.com</t>
  </si>
  <si>
    <t>71 rue de l etrat</t>
  </si>
  <si>
    <t>453 AVENUE DE SAVOIE</t>
  </si>
  <si>
    <t>Aigueblanche</t>
  </si>
  <si>
    <t>73260</t>
  </si>
  <si>
    <t>Francisco</t>
  </si>
  <si>
    <t>Julio Descals</t>
  </si>
  <si>
    <t>Francisco Julio Descals</t>
  </si>
  <si>
    <t>GERENTE</t>
  </si>
  <si>
    <t>animahook@hotmail.com</t>
  </si>
  <si>
    <t>Calle Xixera,15</t>
  </si>
  <si>
    <t>alzira</t>
  </si>
  <si>
    <t>46600</t>
  </si>
  <si>
    <t>Franco</t>
  </si>
  <si>
    <t>Sorte</t>
  </si>
  <si>
    <t>Harding Trading SRL</t>
  </si>
  <si>
    <t>Managing Director</t>
  </si>
  <si>
    <t>f.sorte@harding.it</t>
  </si>
  <si>
    <t>Via G. Galilei 13</t>
  </si>
  <si>
    <t>Brignano Gera D'adda</t>
  </si>
  <si>
    <t>24053</t>
  </si>
  <si>
    <t>IT-BG</t>
  </si>
  <si>
    <t>freddy</t>
  </si>
  <si>
    <t>mottard</t>
  </si>
  <si>
    <t>freddy mottard</t>
  </si>
  <si>
    <t>directeur</t>
  </si>
  <si>
    <t>freddylou@hotmail.fr</t>
  </si>
  <si>
    <t>11 route de cotre</t>
  </si>
  <si>
    <t>la baule</t>
  </si>
  <si>
    <t>44500</t>
  </si>
  <si>
    <t>Frédéric</t>
  </si>
  <si>
    <t>Collart</t>
  </si>
  <si>
    <t>Frédéric Collart</t>
  </si>
  <si>
    <t>Administrateur</t>
  </si>
  <si>
    <t>info@lerepaire.be</t>
  </si>
  <si>
    <t>Chaussée de Namur 59</t>
  </si>
  <si>
    <t>Nivelles</t>
  </si>
  <si>
    <t>BE</t>
  </si>
  <si>
    <t>1400</t>
  </si>
  <si>
    <t>BE-WBR</t>
  </si>
  <si>
    <t>george</t>
  </si>
  <si>
    <t>qaiyal</t>
  </si>
  <si>
    <t>george qaiyal</t>
  </si>
  <si>
    <t>Commercial Manager</t>
  </si>
  <si>
    <t>george.qaiyal@gmail.com</t>
  </si>
  <si>
    <t>heimdallasvagen 21</t>
  </si>
  <si>
    <t>stockholm</t>
  </si>
  <si>
    <t>15160</t>
  </si>
  <si>
    <t>Gérard</t>
  </si>
  <si>
    <t>Cujean</t>
  </si>
  <si>
    <t>Bénédicte cujean</t>
  </si>
  <si>
    <t>Chef Monteur</t>
  </si>
  <si>
    <t>benedictecujean@gmail.com</t>
  </si>
  <si>
    <t>2660 route du moulin</t>
  </si>
  <si>
    <t>orx</t>
  </si>
  <si>
    <t>40230</t>
  </si>
  <si>
    <t>Magnum Games</t>
  </si>
  <si>
    <t>Laurent</t>
  </si>
  <si>
    <t>De Bretagne</t>
  </si>
  <si>
    <t>Eurospec Production</t>
  </si>
  <si>
    <t xml:space="preserve">Giuseppe </t>
  </si>
  <si>
    <t>Cappelli</t>
  </si>
  <si>
    <t>D.a.c.i.g</t>
  </si>
  <si>
    <t xml:space="preserve">Ralf </t>
  </si>
  <si>
    <t>Geppert</t>
  </si>
  <si>
    <t>Fortunately.com</t>
  </si>
  <si>
    <t>4dreams</t>
  </si>
  <si>
    <t>ohfx.</t>
  </si>
  <si>
    <t xml:space="preserve">Antino </t>
  </si>
  <si>
    <t>Mirra</t>
  </si>
  <si>
    <t xml:space="preserve">Alexandros </t>
  </si>
  <si>
    <t>Aidonopoulos</t>
  </si>
  <si>
    <t xml:space="preserve">Jaju </t>
  </si>
  <si>
    <t>Jaju - Dmuchane Atrakcje</t>
  </si>
  <si>
    <t xml:space="preserve">Rubens </t>
  </si>
  <si>
    <t>Dubois</t>
  </si>
  <si>
    <t>Ralh P.</t>
  </si>
  <si>
    <t>fortunasys.com</t>
  </si>
  <si>
    <t>großes Spielkind</t>
  </si>
  <si>
    <t>r.geppert@fortunasys.com</t>
  </si>
  <si>
    <t>Brückenstraße 16 64385 Reichelsheim</t>
  </si>
  <si>
    <t>Odenwald</t>
  </si>
  <si>
    <t>Tom</t>
  </si>
  <si>
    <t>Cruysberghs</t>
  </si>
  <si>
    <t>eurocarnavales</t>
  </si>
  <si>
    <t>Sales</t>
  </si>
  <si>
    <t>tcruysberghs@eurocarnavales.es</t>
  </si>
  <si>
    <t>Petric</t>
  </si>
  <si>
    <t>Darius</t>
  </si>
  <si>
    <t>CONTAKT</t>
  </si>
  <si>
    <t>CO-FOUNDER &amp; BUSINESS OWNER</t>
  </si>
  <si>
    <t>darius.petric@contakt.ro</t>
  </si>
  <si>
    <t>Sat Şag, Str. XI, Nr. 3-5, Jud. Timiş</t>
  </si>
  <si>
    <t>RO</t>
  </si>
  <si>
    <t>GARNI HOTEL</t>
  </si>
  <si>
    <t>info@garnihotel31.sk</t>
  </si>
  <si>
    <t>Duklianska 57  052 01 Spišská Nová Ves</t>
  </si>
  <si>
    <t>SK</t>
  </si>
  <si>
    <t>GIANLUCA</t>
  </si>
  <si>
    <t>CARRU</t>
  </si>
  <si>
    <t>cargussrl@tiscali.it</t>
  </si>
  <si>
    <t>Sede Legale : Via Sassari, 35 - Siniscola (NU)</t>
  </si>
  <si>
    <t xml:space="preserve">Mikel </t>
  </si>
  <si>
    <t>AMILIBIA</t>
  </si>
  <si>
    <t>animaktion.fr</t>
  </si>
  <si>
    <t>animaktion@orange.fr</t>
  </si>
  <si>
    <t>Pays-Basque, Béarn, Sud Landes</t>
  </si>
  <si>
    <t>Bella</t>
  </si>
  <si>
    <t>Hu</t>
  </si>
  <si>
    <t>rbinflatables.com</t>
  </si>
  <si>
    <t>General Manager</t>
  </si>
  <si>
    <t>info@rainbowinflatableschina.com</t>
  </si>
  <si>
    <t>No. 34, Dongxing Road, Chadong Village, Dalong Street, Panyu District, Guangzhou, China</t>
  </si>
  <si>
    <t>CN</t>
  </si>
  <si>
    <t>PLAYSUD</t>
  </si>
  <si>
    <t xml:space="preserve">info@playsud.it </t>
  </si>
  <si>
    <t>Via Petrarca, 7 – 80024 Cardito (Naples)</t>
  </si>
  <si>
    <t>LIDIIA</t>
  </si>
  <si>
    <t>ROMANOVA</t>
  </si>
  <si>
    <t>Directora de ventas</t>
  </si>
  <si>
    <t>lidiia@windoor-realfly.com</t>
  </si>
  <si>
    <t>Tom Albert</t>
  </si>
  <si>
    <t>Cruysberghs Thijs</t>
  </si>
  <si>
    <t>EuroCarnavales</t>
  </si>
  <si>
    <t>Responsable Comercial</t>
  </si>
  <si>
    <t>tcruysberghs@eurocarnavales es</t>
  </si>
  <si>
    <t>Gremio Tejedores (Pasaje Particular), Naves nº 2 y nº 9, Polígono Son Castello, 07009 Palma de Mallorca, Spain</t>
  </si>
  <si>
    <t>Massimiliano</t>
  </si>
  <si>
    <t>Castri</t>
  </si>
  <si>
    <t>FEE</t>
  </si>
  <si>
    <t>Sales Manager</t>
  </si>
  <si>
    <t>sales@feexpo.it</t>
  </si>
  <si>
    <t>THRILL SEEKERS HIRE</t>
  </si>
  <si>
    <t xml:space="preserve">FUN@THRILLSEEKERSHIRE.CO.UK </t>
  </si>
  <si>
    <t>AS</t>
  </si>
  <si>
    <t>ARTHUR</t>
  </si>
  <si>
    <t>VEENHUYS</t>
  </si>
  <si>
    <t>totem.ch</t>
  </si>
  <si>
    <t>co-founder</t>
  </si>
  <si>
    <t>arthur@totem.ch</t>
  </si>
  <si>
    <t>chemin de Verney 5A 1024 Ecublens Switzerland</t>
  </si>
  <si>
    <t>CH</t>
  </si>
  <si>
    <t>Daniel</t>
  </si>
  <si>
    <t>Kayser</t>
  </si>
  <si>
    <t>www.dk-eventverleih.de</t>
  </si>
  <si>
    <t>daniel@dk-eventverleih.de</t>
  </si>
  <si>
    <t>TH</t>
  </si>
  <si>
    <t>Funday Entertainment Ltd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</si>
</sst>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0000"/>
  </numFmts>
  <fonts count="10">
    <font>
      <sz val="11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</font>
    <font>
      <u/>
      <color rgb="FF000000"/>
    </font>
    <font>
      <color rgb="FF000000"/>
      <name val="Arial"/>
      <scheme val="minor"/>
    </font>
    <font>
      <u/>
      <color rgb="FF000000"/>
    </font>
    <font>
      <sz val="9.0"/>
      <color theme="1"/>
      <name val="Arial"/>
      <scheme val="minor"/>
    </font>
    <font>
      <sz val="11.0"/>
      <color theme="1"/>
      <name val="Arial"/>
      <scheme val="minor"/>
    </font>
    <font>
      <sz val="10.0"/>
      <color theme="1"/>
      <name val="Arial"/>
      <scheme val="minor"/>
    </font>
    <font>
      <u/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Lead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78" displayName="Table_1" name="Table_1" id="1">
  <tableColumns count="15">
    <tableColumn name="First Name" id="1"/>
    <tableColumn name="Last Name" id="2"/>
    <tableColumn name="Company" id="3"/>
    <tableColumn name="Title" id="4"/>
    <tableColumn name="Email" id="5"/>
    <tableColumn name="workPhone" id="6"/>
    <tableColumn name="Address 1" id="7"/>
    <tableColumn name="Address 2" id="8"/>
    <tableColumn name="City" id="9"/>
    <tableColumn name="Country" id="10"/>
    <tableColumn name="Postal Code" id="11"/>
    <tableColumn name="State" id="12"/>
    <tableColumn name="Rating" id="13"/>
    <tableColumn name="Next Actions" id="14"/>
    <tableColumn name="Follow-Up" id="15"/>
  </tableColumns>
  <tableStyleInfo name="Lead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fortunately.com" TargetMode="External"/><Relationship Id="rId2" Type="http://schemas.openxmlformats.org/officeDocument/2006/relationships/hyperlink" Target="http://fortunasys.com/" TargetMode="External"/><Relationship Id="rId3" Type="http://schemas.openxmlformats.org/officeDocument/2006/relationships/hyperlink" Target="http://www.animaktion.fr/" TargetMode="External"/><Relationship Id="rId4" Type="http://schemas.openxmlformats.org/officeDocument/2006/relationships/hyperlink" Target="http://www.rbinflatables.com/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://totem.ch/" TargetMode="External"/><Relationship Id="rId6" Type="http://schemas.openxmlformats.org/officeDocument/2006/relationships/hyperlink" Target="http://www.dk-eventverleih.de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5"/>
    <col customWidth="1" min="2" max="2" width="16.38"/>
    <col customWidth="1" min="3" max="3" width="35.5"/>
    <col customWidth="1" min="4" max="4" width="26.63"/>
    <col customWidth="1" min="5" max="5" width="30.0"/>
    <col customWidth="1" min="6" max="6" width="22.38"/>
    <col customWidth="1" min="7" max="7" width="20.38"/>
    <col customWidth="1" min="8" max="8" width="20.13"/>
    <col customWidth="1" min="9" max="9" width="13.38"/>
    <col customWidth="1" min="10" max="11" width="9.75"/>
    <col customWidth="1" min="12" max="13" width="9.88"/>
    <col customWidth="1" min="14" max="14" width="16.5"/>
    <col customWidth="1" min="15" max="15" width="13.13"/>
    <col customWidth="1" min="16" max="26" width="8.63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3.5" customHeight="1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2">
        <v>9.6560003377E10</v>
      </c>
      <c r="G2" s="1" t="s">
        <v>20</v>
      </c>
      <c r="H2" s="1"/>
      <c r="I2" s="1" t="s">
        <v>21</v>
      </c>
      <c r="J2" s="1" t="s">
        <v>22</v>
      </c>
      <c r="K2" s="1" t="s">
        <v>23</v>
      </c>
      <c r="L2" s="1"/>
      <c r="M2" s="1"/>
      <c r="N2" s="1" t="s">
        <v>24</v>
      </c>
      <c r="O2" s="1" t="s">
        <v>24</v>
      </c>
    </row>
    <row r="3" ht="13.5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2">
        <v>7.836570278E9</v>
      </c>
      <c r="G3" s="1" t="s">
        <v>30</v>
      </c>
      <c r="H3" s="1"/>
      <c r="I3" s="1" t="s">
        <v>31</v>
      </c>
      <c r="J3" s="1" t="s">
        <v>32</v>
      </c>
      <c r="K3" s="1"/>
      <c r="L3" s="1"/>
      <c r="M3" s="1"/>
      <c r="N3" s="1" t="s">
        <v>24</v>
      </c>
      <c r="O3" s="1" t="s">
        <v>24</v>
      </c>
    </row>
    <row r="4" ht="13.5" customHeight="1">
      <c r="A4" s="1" t="s">
        <v>33</v>
      </c>
      <c r="B4" s="1" t="s">
        <v>34</v>
      </c>
      <c r="C4" s="1" t="s">
        <v>35</v>
      </c>
      <c r="D4" s="1" t="s">
        <v>36</v>
      </c>
      <c r="E4" s="1" t="s">
        <v>37</v>
      </c>
      <c r="F4" s="2">
        <v>6.06344933E8</v>
      </c>
      <c r="G4" s="1" t="s">
        <v>38</v>
      </c>
      <c r="H4" s="1"/>
      <c r="I4" s="1" t="s">
        <v>39</v>
      </c>
      <c r="J4" s="1" t="s">
        <v>40</v>
      </c>
      <c r="K4" s="1" t="s">
        <v>41</v>
      </c>
      <c r="L4" s="1"/>
      <c r="M4" s="1"/>
      <c r="N4" s="1" t="s">
        <v>24</v>
      </c>
      <c r="O4" s="1" t="s">
        <v>24</v>
      </c>
    </row>
    <row r="5" ht="13.5" customHeight="1">
      <c r="A5" s="1" t="s">
        <v>42</v>
      </c>
      <c r="B5" s="1" t="s">
        <v>43</v>
      </c>
      <c r="C5" s="1" t="s">
        <v>44</v>
      </c>
      <c r="D5" s="1" t="s">
        <v>45</v>
      </c>
      <c r="E5" s="1" t="s">
        <v>46</v>
      </c>
      <c r="F5" s="2">
        <v>0.0</v>
      </c>
      <c r="G5" s="1" t="s">
        <v>47</v>
      </c>
      <c r="H5" s="1"/>
      <c r="I5" s="1" t="s">
        <v>48</v>
      </c>
      <c r="J5" s="1" t="s">
        <v>49</v>
      </c>
      <c r="K5" s="1" t="s">
        <v>50</v>
      </c>
      <c r="L5" s="1" t="s">
        <v>51</v>
      </c>
      <c r="M5" s="1"/>
      <c r="N5" s="1" t="s">
        <v>24</v>
      </c>
      <c r="O5" s="1" t="s">
        <v>24</v>
      </c>
    </row>
    <row r="6" ht="13.5" customHeight="1">
      <c r="A6" s="1" t="s">
        <v>52</v>
      </c>
      <c r="B6" s="1" t="s">
        <v>53</v>
      </c>
      <c r="C6" s="1" t="s">
        <v>54</v>
      </c>
      <c r="D6" s="1" t="s">
        <v>18</v>
      </c>
      <c r="E6" s="1" t="s">
        <v>55</v>
      </c>
      <c r="F6" s="2">
        <v>3.06974690464E11</v>
      </c>
      <c r="G6" s="1" t="s">
        <v>56</v>
      </c>
      <c r="H6" s="1"/>
      <c r="I6" s="1" t="s">
        <v>57</v>
      </c>
      <c r="J6" s="1" t="s">
        <v>58</v>
      </c>
      <c r="K6" s="1" t="s">
        <v>59</v>
      </c>
      <c r="L6" s="1"/>
      <c r="M6" s="1"/>
      <c r="N6" s="1" t="s">
        <v>24</v>
      </c>
      <c r="O6" s="1" t="s">
        <v>24</v>
      </c>
    </row>
    <row r="7" ht="13.5" customHeight="1">
      <c r="A7" s="1" t="s">
        <v>60</v>
      </c>
      <c r="B7" s="1" t="s">
        <v>61</v>
      </c>
      <c r="C7" s="1" t="s">
        <v>62</v>
      </c>
      <c r="D7" s="1" t="s">
        <v>45</v>
      </c>
      <c r="E7" s="1" t="s">
        <v>63</v>
      </c>
      <c r="F7" s="2">
        <v>3.5389606416E11</v>
      </c>
      <c r="G7" s="1" t="s">
        <v>64</v>
      </c>
      <c r="H7" s="1"/>
      <c r="I7" s="1" t="s">
        <v>65</v>
      </c>
      <c r="J7" s="1" t="s">
        <v>66</v>
      </c>
      <c r="K7" s="1"/>
      <c r="L7" s="1"/>
      <c r="M7" s="1"/>
      <c r="N7" s="1" t="s">
        <v>24</v>
      </c>
      <c r="O7" s="1" t="s">
        <v>24</v>
      </c>
    </row>
    <row r="8" ht="13.5" customHeight="1">
      <c r="A8" s="1" t="s">
        <v>67</v>
      </c>
      <c r="B8" s="1" t="s">
        <v>68</v>
      </c>
      <c r="C8" s="1" t="s">
        <v>69</v>
      </c>
      <c r="D8" s="1" t="s">
        <v>70</v>
      </c>
      <c r="E8" s="1" t="s">
        <v>71</v>
      </c>
      <c r="F8" s="2">
        <v>2.106198274E9</v>
      </c>
      <c r="G8" s="1" t="s">
        <v>72</v>
      </c>
      <c r="H8" s="1"/>
      <c r="I8" s="1" t="s">
        <v>73</v>
      </c>
      <c r="J8" s="1" t="s">
        <v>58</v>
      </c>
      <c r="K8" s="1"/>
      <c r="L8" s="1"/>
      <c r="M8" s="1"/>
      <c r="N8" s="1" t="s">
        <v>24</v>
      </c>
      <c r="O8" s="1" t="s">
        <v>24</v>
      </c>
    </row>
    <row r="9" ht="13.5" customHeight="1">
      <c r="A9" s="1" t="s">
        <v>74</v>
      </c>
      <c r="B9" s="1" t="s">
        <v>75</v>
      </c>
      <c r="C9" s="1" t="s">
        <v>76</v>
      </c>
      <c r="D9" s="1" t="s">
        <v>77</v>
      </c>
      <c r="E9" s="1" t="s">
        <v>78</v>
      </c>
      <c r="F9" s="2">
        <v>9.9658634E7</v>
      </c>
      <c r="G9" s="1" t="s">
        <v>79</v>
      </c>
      <c r="H9" s="1"/>
      <c r="I9" s="1" t="s">
        <v>80</v>
      </c>
      <c r="J9" s="1" t="s">
        <v>81</v>
      </c>
      <c r="K9" s="1" t="s">
        <v>82</v>
      </c>
      <c r="L9" s="1"/>
      <c r="M9" s="1"/>
      <c r="N9" s="1" t="s">
        <v>24</v>
      </c>
      <c r="O9" s="1" t="s">
        <v>24</v>
      </c>
    </row>
    <row r="10" ht="13.5" customHeight="1">
      <c r="A10" s="1" t="s">
        <v>83</v>
      </c>
      <c r="B10" s="1" t="s">
        <v>84</v>
      </c>
      <c r="C10" s="1" t="s">
        <v>85</v>
      </c>
      <c r="D10" s="1" t="s">
        <v>86</v>
      </c>
      <c r="E10" s="1" t="s">
        <v>87</v>
      </c>
      <c r="F10" s="2" t="s">
        <v>88</v>
      </c>
      <c r="G10" s="1" t="s">
        <v>89</v>
      </c>
      <c r="H10" s="1"/>
      <c r="I10" s="1" t="s">
        <v>89</v>
      </c>
      <c r="J10" s="1" t="s">
        <v>49</v>
      </c>
      <c r="K10" s="1" t="s">
        <v>90</v>
      </c>
      <c r="L10" s="1"/>
      <c r="M10" s="1"/>
      <c r="N10" s="1" t="s">
        <v>24</v>
      </c>
      <c r="O10" s="1" t="s">
        <v>24</v>
      </c>
    </row>
    <row r="11" ht="13.5" customHeight="1">
      <c r="A11" s="1" t="s">
        <v>91</v>
      </c>
      <c r="B11" s="1" t="s">
        <v>92</v>
      </c>
      <c r="C11" s="1" t="s">
        <v>93</v>
      </c>
      <c r="D11" s="1" t="s">
        <v>94</v>
      </c>
      <c r="E11" s="1" t="s">
        <v>95</v>
      </c>
      <c r="F11" s="2">
        <v>3.0694510511E11</v>
      </c>
      <c r="G11" s="1" t="s">
        <v>96</v>
      </c>
      <c r="H11" s="1"/>
      <c r="I11" s="1" t="s">
        <v>97</v>
      </c>
      <c r="J11" s="1" t="s">
        <v>58</v>
      </c>
      <c r="K11" s="1" t="s">
        <v>98</v>
      </c>
      <c r="L11" s="1" t="s">
        <v>99</v>
      </c>
      <c r="M11" s="1"/>
      <c r="N11" s="1" t="s">
        <v>24</v>
      </c>
      <c r="O11" s="1" t="s">
        <v>24</v>
      </c>
    </row>
    <row r="12" ht="13.5" customHeight="1">
      <c r="A12" s="1" t="s">
        <v>100</v>
      </c>
      <c r="B12" s="1" t="s">
        <v>101</v>
      </c>
      <c r="C12" s="1" t="s">
        <v>102</v>
      </c>
      <c r="D12" s="1" t="s">
        <v>70</v>
      </c>
      <c r="E12" s="1" t="s">
        <v>103</v>
      </c>
      <c r="F12" s="2">
        <v>4.6761667888E10</v>
      </c>
      <c r="G12" s="1" t="s">
        <v>104</v>
      </c>
      <c r="H12" s="1"/>
      <c r="I12" s="1" t="s">
        <v>105</v>
      </c>
      <c r="J12" s="1" t="s">
        <v>106</v>
      </c>
      <c r="K12" s="1" t="s">
        <v>107</v>
      </c>
      <c r="L12" s="1"/>
      <c r="M12" s="1"/>
      <c r="N12" s="1" t="s">
        <v>24</v>
      </c>
      <c r="O12" s="1" t="s">
        <v>24</v>
      </c>
    </row>
    <row r="13" ht="13.5" customHeight="1">
      <c r="A13" s="1" t="s">
        <v>108</v>
      </c>
      <c r="B13" s="1" t="s">
        <v>109</v>
      </c>
      <c r="C13" s="1" t="s">
        <v>110</v>
      </c>
      <c r="D13" s="1" t="s">
        <v>111</v>
      </c>
      <c r="E13" s="1" t="s">
        <v>112</v>
      </c>
      <c r="F13" s="2" t="s">
        <v>113</v>
      </c>
      <c r="G13" s="1" t="s">
        <v>114</v>
      </c>
      <c r="H13" s="1"/>
      <c r="I13" s="1" t="s">
        <v>115</v>
      </c>
      <c r="J13" s="1" t="s">
        <v>116</v>
      </c>
      <c r="K13" s="1"/>
      <c r="L13" s="1"/>
      <c r="M13" s="1"/>
      <c r="N13" s="1" t="s">
        <v>24</v>
      </c>
      <c r="O13" s="1" t="s">
        <v>24</v>
      </c>
    </row>
    <row r="14" ht="13.5" customHeight="1">
      <c r="A14" s="1" t="s">
        <v>108</v>
      </c>
      <c r="B14" s="1" t="s">
        <v>117</v>
      </c>
      <c r="C14" s="1" t="s">
        <v>118</v>
      </c>
      <c r="D14" s="1" t="s">
        <v>119</v>
      </c>
      <c r="E14" s="1" t="s">
        <v>120</v>
      </c>
      <c r="F14" s="2">
        <v>6.64831247E8</v>
      </c>
      <c r="G14" s="1" t="s">
        <v>121</v>
      </c>
      <c r="H14" s="1"/>
      <c r="I14" s="1" t="s">
        <v>122</v>
      </c>
      <c r="J14" s="1" t="s">
        <v>123</v>
      </c>
      <c r="K14" s="1"/>
      <c r="L14" s="1"/>
      <c r="M14" s="1"/>
      <c r="N14" s="1" t="s">
        <v>24</v>
      </c>
      <c r="O14" s="1" t="s">
        <v>24</v>
      </c>
    </row>
    <row r="15" ht="13.5" customHeight="1">
      <c r="A15" s="1" t="s">
        <v>124</v>
      </c>
      <c r="B15" s="1" t="s">
        <v>125</v>
      </c>
      <c r="C15" s="1" t="s">
        <v>126</v>
      </c>
      <c r="D15" s="1" t="s">
        <v>127</v>
      </c>
      <c r="E15" s="1" t="s">
        <v>128</v>
      </c>
      <c r="F15" s="2">
        <v>3.92289701E8</v>
      </c>
      <c r="G15" s="1" t="s">
        <v>129</v>
      </c>
      <c r="H15" s="1"/>
      <c r="I15" s="1" t="s">
        <v>130</v>
      </c>
      <c r="J15" s="1" t="s">
        <v>49</v>
      </c>
      <c r="K15" s="1" t="s">
        <v>131</v>
      </c>
      <c r="L15" s="1"/>
      <c r="M15" s="1"/>
      <c r="N15" s="1" t="s">
        <v>24</v>
      </c>
      <c r="O15" s="1" t="s">
        <v>24</v>
      </c>
    </row>
    <row r="16" ht="13.5" customHeight="1">
      <c r="A16" s="1" t="s">
        <v>132</v>
      </c>
      <c r="B16" s="1" t="s">
        <v>133</v>
      </c>
      <c r="C16" s="1" t="s">
        <v>134</v>
      </c>
      <c r="D16" s="1" t="s">
        <v>135</v>
      </c>
      <c r="E16" s="1" t="s">
        <v>136</v>
      </c>
      <c r="F16" s="2">
        <v>3.4693820252E10</v>
      </c>
      <c r="G16" s="1" t="s">
        <v>137</v>
      </c>
      <c r="H16" s="1" t="s">
        <v>24</v>
      </c>
      <c r="I16" s="1" t="s">
        <v>138</v>
      </c>
      <c r="J16" s="1" t="s">
        <v>40</v>
      </c>
      <c r="K16" s="1" t="s">
        <v>24</v>
      </c>
      <c r="L16" s="1" t="s">
        <v>24</v>
      </c>
      <c r="M16" s="1"/>
      <c r="N16" s="1" t="s">
        <v>24</v>
      </c>
      <c r="O16" s="1" t="s">
        <v>24</v>
      </c>
    </row>
    <row r="17" ht="13.5" customHeight="1">
      <c r="A17" s="1" t="s">
        <v>139</v>
      </c>
      <c r="B17" s="1" t="s">
        <v>140</v>
      </c>
      <c r="C17" s="1" t="s">
        <v>141</v>
      </c>
      <c r="D17" s="1" t="s">
        <v>142</v>
      </c>
      <c r="E17" s="1" t="s">
        <v>143</v>
      </c>
      <c r="F17" s="2">
        <v>3.3786622401E10</v>
      </c>
      <c r="G17" s="1" t="s">
        <v>144</v>
      </c>
      <c r="H17" s="1"/>
      <c r="I17" s="1" t="s">
        <v>145</v>
      </c>
      <c r="J17" s="1" t="s">
        <v>123</v>
      </c>
      <c r="K17" s="1"/>
      <c r="L17" s="1"/>
      <c r="M17" s="1"/>
      <c r="N17" s="1" t="s">
        <v>24</v>
      </c>
      <c r="O17" s="1" t="s">
        <v>24</v>
      </c>
    </row>
    <row r="18" ht="13.5" customHeight="1">
      <c r="A18" s="1" t="s">
        <v>146</v>
      </c>
      <c r="B18" s="1" t="s">
        <v>147</v>
      </c>
      <c r="C18" s="1" t="s">
        <v>148</v>
      </c>
      <c r="D18" s="1" t="s">
        <v>149</v>
      </c>
      <c r="E18" s="1" t="s">
        <v>150</v>
      </c>
      <c r="F18" s="2">
        <v>4.915155191478E12</v>
      </c>
      <c r="G18" s="1" t="s">
        <v>151</v>
      </c>
      <c r="H18" s="1"/>
      <c r="I18" s="1" t="s">
        <v>152</v>
      </c>
      <c r="J18" s="1" t="s">
        <v>116</v>
      </c>
      <c r="K18" s="1" t="s">
        <v>153</v>
      </c>
      <c r="L18" s="1"/>
      <c r="M18" s="1"/>
      <c r="N18" s="1" t="s">
        <v>24</v>
      </c>
      <c r="O18" s="1" t="s">
        <v>24</v>
      </c>
    </row>
    <row r="19" ht="13.5" customHeight="1">
      <c r="A19" s="1" t="s">
        <v>154</v>
      </c>
      <c r="B19" s="1" t="s">
        <v>155</v>
      </c>
      <c r="C19" s="1" t="s">
        <v>156</v>
      </c>
      <c r="D19" s="1" t="s">
        <v>28</v>
      </c>
      <c r="E19" s="1" t="s">
        <v>157</v>
      </c>
      <c r="F19" s="2">
        <v>7.28788188E8</v>
      </c>
      <c r="G19" s="1" t="s">
        <v>158</v>
      </c>
      <c r="H19" s="1"/>
      <c r="I19" s="1" t="s">
        <v>159</v>
      </c>
      <c r="J19" s="1" t="s">
        <v>160</v>
      </c>
      <c r="K19" s="1" t="s">
        <v>161</v>
      </c>
      <c r="L19" s="1"/>
      <c r="M19" s="1"/>
      <c r="N19" s="1" t="s">
        <v>24</v>
      </c>
      <c r="O19" s="1" t="s">
        <v>24</v>
      </c>
    </row>
    <row r="20" ht="13.5" customHeight="1">
      <c r="A20" s="1" t="s">
        <v>162</v>
      </c>
      <c r="B20" s="1" t="s">
        <v>163</v>
      </c>
      <c r="C20" s="1" t="s">
        <v>164</v>
      </c>
      <c r="D20" s="1" t="s">
        <v>119</v>
      </c>
      <c r="E20" s="1" t="s">
        <v>165</v>
      </c>
      <c r="F20" s="2">
        <v>4.8660807745E10</v>
      </c>
      <c r="G20" s="1" t="s">
        <v>166</v>
      </c>
      <c r="H20" s="1"/>
      <c r="I20" s="1" t="s">
        <v>167</v>
      </c>
      <c r="J20" s="1" t="s">
        <v>160</v>
      </c>
      <c r="K20" s="1" t="s">
        <v>168</v>
      </c>
      <c r="L20" s="1"/>
      <c r="M20" s="1"/>
      <c r="N20" s="1" t="s">
        <v>24</v>
      </c>
      <c r="O20" s="1" t="s">
        <v>24</v>
      </c>
    </row>
    <row r="21" ht="13.5" customHeight="1">
      <c r="A21" s="1" t="s">
        <v>169</v>
      </c>
      <c r="B21" s="1" t="s">
        <v>170</v>
      </c>
      <c r="C21" s="1" t="s">
        <v>171</v>
      </c>
      <c r="D21" s="1" t="s">
        <v>172</v>
      </c>
      <c r="E21" s="1" t="s">
        <v>173</v>
      </c>
      <c r="F21" s="2">
        <v>6.26386487E8</v>
      </c>
      <c r="G21" s="1" t="s">
        <v>174</v>
      </c>
      <c r="H21" s="1"/>
      <c r="I21" s="1" t="s">
        <v>175</v>
      </c>
      <c r="J21" s="1" t="s">
        <v>40</v>
      </c>
      <c r="K21" s="1"/>
      <c r="L21" s="1"/>
      <c r="M21" s="1"/>
      <c r="N21" s="1" t="s">
        <v>24</v>
      </c>
      <c r="O21" s="1" t="s">
        <v>24</v>
      </c>
    </row>
    <row r="22" ht="13.5" customHeight="1">
      <c r="A22" s="1" t="s">
        <v>176</v>
      </c>
      <c r="B22" s="1" t="s">
        <v>177</v>
      </c>
      <c r="C22" s="1" t="s">
        <v>178</v>
      </c>
      <c r="D22" s="1" t="s">
        <v>36</v>
      </c>
      <c r="E22" s="1" t="s">
        <v>179</v>
      </c>
      <c r="F22" s="2"/>
      <c r="G22" s="1" t="s">
        <v>180</v>
      </c>
      <c r="H22" s="1"/>
      <c r="I22" s="1" t="s">
        <v>181</v>
      </c>
      <c r="J22" s="1" t="s">
        <v>40</v>
      </c>
      <c r="K22" s="1" t="s">
        <v>182</v>
      </c>
      <c r="L22" s="1"/>
      <c r="M22" s="1"/>
      <c r="N22" s="1" t="s">
        <v>24</v>
      </c>
      <c r="O22" s="1" t="s">
        <v>24</v>
      </c>
    </row>
    <row r="23" ht="13.5" customHeight="1">
      <c r="A23" s="1" t="s">
        <v>183</v>
      </c>
      <c r="B23" s="1" t="s">
        <v>184</v>
      </c>
      <c r="C23" s="1" t="s">
        <v>185</v>
      </c>
      <c r="D23" s="1" t="s">
        <v>18</v>
      </c>
      <c r="E23" s="1" t="s">
        <v>186</v>
      </c>
      <c r="F23" s="2">
        <v>3.93355463043E11</v>
      </c>
      <c r="G23" s="1" t="s">
        <v>187</v>
      </c>
      <c r="H23" s="1"/>
      <c r="I23" s="1" t="s">
        <v>188</v>
      </c>
      <c r="J23" s="1" t="s">
        <v>49</v>
      </c>
      <c r="K23" s="1" t="s">
        <v>189</v>
      </c>
      <c r="L23" s="1" t="s">
        <v>190</v>
      </c>
      <c r="M23" s="1"/>
      <c r="N23" s="1" t="s">
        <v>24</v>
      </c>
      <c r="O23" s="1" t="s">
        <v>24</v>
      </c>
    </row>
    <row r="24" ht="13.5" customHeight="1">
      <c r="A24" s="1" t="s">
        <v>191</v>
      </c>
      <c r="B24" s="1" t="s">
        <v>192</v>
      </c>
      <c r="C24" s="1" t="s">
        <v>193</v>
      </c>
      <c r="D24" s="1" t="s">
        <v>194</v>
      </c>
      <c r="E24" s="1" t="s">
        <v>195</v>
      </c>
      <c r="F24" s="2">
        <v>6.10724589E8</v>
      </c>
      <c r="G24" s="1" t="s">
        <v>196</v>
      </c>
      <c r="H24" s="1" t="s">
        <v>197</v>
      </c>
      <c r="I24" s="1" t="s">
        <v>198</v>
      </c>
      <c r="J24" s="1" t="s">
        <v>123</v>
      </c>
      <c r="K24" s="1" t="s">
        <v>199</v>
      </c>
      <c r="L24" s="1"/>
      <c r="M24" s="1"/>
      <c r="N24" s="1" t="s">
        <v>24</v>
      </c>
      <c r="O24" s="1" t="s">
        <v>24</v>
      </c>
    </row>
    <row r="25" ht="13.5" customHeight="1">
      <c r="A25" s="1" t="s">
        <v>200</v>
      </c>
      <c r="B25" s="1" t="s">
        <v>201</v>
      </c>
      <c r="C25" s="1" t="s">
        <v>202</v>
      </c>
      <c r="D25" s="1" t="s">
        <v>203</v>
      </c>
      <c r="E25" s="1" t="s">
        <v>204</v>
      </c>
      <c r="F25" s="2">
        <v>6.25405625E8</v>
      </c>
      <c r="G25" s="1" t="s">
        <v>205</v>
      </c>
      <c r="H25" s="1"/>
      <c r="I25" s="1" t="s">
        <v>206</v>
      </c>
      <c r="J25" s="1" t="s">
        <v>207</v>
      </c>
      <c r="K25" s="1" t="s">
        <v>208</v>
      </c>
      <c r="L25" s="1"/>
      <c r="M25" s="1"/>
      <c r="N25" s="1" t="s">
        <v>24</v>
      </c>
      <c r="O25" s="1" t="s">
        <v>24</v>
      </c>
    </row>
    <row r="26" ht="13.5" customHeight="1">
      <c r="A26" s="1" t="s">
        <v>209</v>
      </c>
      <c r="B26" s="1" t="s">
        <v>210</v>
      </c>
      <c r="C26" s="1" t="s">
        <v>211</v>
      </c>
      <c r="D26" s="1" t="s">
        <v>212</v>
      </c>
      <c r="E26" s="1" t="s">
        <v>213</v>
      </c>
      <c r="F26" s="2">
        <v>3.3642754148E10</v>
      </c>
      <c r="G26" s="1" t="s">
        <v>214</v>
      </c>
      <c r="H26" s="1"/>
      <c r="I26" s="1" t="s">
        <v>215</v>
      </c>
      <c r="J26" s="1" t="s">
        <v>123</v>
      </c>
      <c r="K26" s="1" t="s">
        <v>216</v>
      </c>
      <c r="L26" s="1"/>
      <c r="M26" s="1"/>
      <c r="N26" s="1" t="s">
        <v>24</v>
      </c>
      <c r="O26" s="1" t="s">
        <v>24</v>
      </c>
    </row>
    <row r="27" ht="13.5" customHeight="1">
      <c r="A27" s="1" t="s">
        <v>217</v>
      </c>
      <c r="B27" s="1" t="s">
        <v>218</v>
      </c>
      <c r="C27" s="1" t="s">
        <v>219</v>
      </c>
      <c r="D27" s="1" t="s">
        <v>119</v>
      </c>
      <c r="E27" s="1" t="s">
        <v>220</v>
      </c>
      <c r="F27" s="2" t="s">
        <v>221</v>
      </c>
      <c r="G27" s="1" t="s">
        <v>222</v>
      </c>
      <c r="H27" s="1"/>
      <c r="I27" s="1" t="s">
        <v>223</v>
      </c>
      <c r="J27" s="1" t="s">
        <v>116</v>
      </c>
      <c r="K27" s="1" t="s">
        <v>224</v>
      </c>
      <c r="L27" s="1"/>
      <c r="M27" s="1"/>
      <c r="N27" s="1" t="s">
        <v>24</v>
      </c>
      <c r="O27" s="1" t="s">
        <v>24</v>
      </c>
    </row>
    <row r="28" ht="13.5" customHeight="1">
      <c r="A28" s="1" t="s">
        <v>225</v>
      </c>
      <c r="B28" s="1" t="s">
        <v>226</v>
      </c>
      <c r="C28" s="1" t="s">
        <v>227</v>
      </c>
      <c r="D28" s="1" t="s">
        <v>228</v>
      </c>
      <c r="E28" s="1" t="s">
        <v>229</v>
      </c>
      <c r="F28" s="2">
        <v>9.36860566E8</v>
      </c>
      <c r="G28" s="1" t="s">
        <v>230</v>
      </c>
      <c r="H28" s="1"/>
      <c r="I28" s="1" t="s">
        <v>231</v>
      </c>
      <c r="J28" s="1" t="s">
        <v>232</v>
      </c>
      <c r="K28" s="1" t="s">
        <v>233</v>
      </c>
      <c r="L28" s="1"/>
      <c r="M28" s="1"/>
      <c r="N28" s="1" t="s">
        <v>24</v>
      </c>
      <c r="O28" s="1" t="s">
        <v>24</v>
      </c>
    </row>
    <row r="29" ht="13.5" customHeight="1">
      <c r="A29" s="1" t="s">
        <v>234</v>
      </c>
      <c r="B29" s="1" t="s">
        <v>235</v>
      </c>
      <c r="C29" s="1" t="s">
        <v>236</v>
      </c>
      <c r="D29" s="1" t="s">
        <v>18</v>
      </c>
      <c r="E29" s="1" t="s">
        <v>237</v>
      </c>
      <c r="F29" s="2" t="s">
        <v>238</v>
      </c>
      <c r="G29" s="1" t="s">
        <v>239</v>
      </c>
      <c r="H29" s="1"/>
      <c r="I29" s="1" t="s">
        <v>240</v>
      </c>
      <c r="J29" s="1" t="s">
        <v>49</v>
      </c>
      <c r="K29" s="1" t="s">
        <v>241</v>
      </c>
      <c r="L29" s="1" t="s">
        <v>242</v>
      </c>
      <c r="M29" s="1"/>
      <c r="N29" s="1" t="s">
        <v>24</v>
      </c>
      <c r="O29" s="1" t="s">
        <v>24</v>
      </c>
    </row>
    <row r="30" ht="13.5" customHeight="1">
      <c r="A30" s="1" t="s">
        <v>243</v>
      </c>
      <c r="B30" s="1" t="s">
        <v>244</v>
      </c>
      <c r="C30" s="1" t="s">
        <v>245</v>
      </c>
      <c r="D30" s="1" t="s">
        <v>119</v>
      </c>
      <c r="E30" s="1" t="s">
        <v>246</v>
      </c>
      <c r="F30" s="2">
        <v>3.3634135532E10</v>
      </c>
      <c r="G30" s="1" t="s">
        <v>247</v>
      </c>
      <c r="H30" s="1" t="s">
        <v>248</v>
      </c>
      <c r="I30" s="1" t="s">
        <v>249</v>
      </c>
      <c r="J30" s="1" t="s">
        <v>123</v>
      </c>
      <c r="K30" s="1" t="s">
        <v>250</v>
      </c>
      <c r="L30" s="1"/>
      <c r="M30" s="1"/>
      <c r="N30" s="1" t="s">
        <v>24</v>
      </c>
      <c r="O30" s="1" t="s">
        <v>24</v>
      </c>
    </row>
    <row r="31" ht="13.5" customHeight="1">
      <c r="A31" s="1" t="s">
        <v>251</v>
      </c>
      <c r="B31" s="1" t="s">
        <v>252</v>
      </c>
      <c r="C31" s="1" t="s">
        <v>253</v>
      </c>
      <c r="D31" s="1" t="s">
        <v>142</v>
      </c>
      <c r="E31" s="1" t="s">
        <v>254</v>
      </c>
      <c r="F31" s="2">
        <v>3.36070741767E11</v>
      </c>
      <c r="G31" s="1" t="s">
        <v>255</v>
      </c>
      <c r="H31" s="1"/>
      <c r="I31" s="1" t="s">
        <v>256</v>
      </c>
      <c r="J31" s="1" t="s">
        <v>123</v>
      </c>
      <c r="K31" s="1" t="s">
        <v>257</v>
      </c>
      <c r="L31" s="1"/>
      <c r="M31" s="1"/>
      <c r="N31" s="1" t="s">
        <v>24</v>
      </c>
      <c r="O31" s="1" t="s">
        <v>24</v>
      </c>
    </row>
    <row r="32" ht="13.5" customHeight="1">
      <c r="A32" s="1" t="s">
        <v>258</v>
      </c>
      <c r="B32" s="1" t="s">
        <v>259</v>
      </c>
      <c r="C32" s="1" t="s">
        <v>260</v>
      </c>
      <c r="D32" s="1" t="s">
        <v>119</v>
      </c>
      <c r="E32" s="1" t="s">
        <v>261</v>
      </c>
      <c r="F32" s="2">
        <v>4.790509288E9</v>
      </c>
      <c r="G32" s="1" t="s">
        <v>262</v>
      </c>
      <c r="H32" s="1"/>
      <c r="I32" s="1" t="s">
        <v>263</v>
      </c>
      <c r="J32" s="1" t="s">
        <v>264</v>
      </c>
      <c r="K32" s="1" t="s">
        <v>265</v>
      </c>
      <c r="L32" s="1"/>
      <c r="M32" s="1"/>
      <c r="N32" s="1" t="s">
        <v>24</v>
      </c>
      <c r="O32" s="1" t="s">
        <v>24</v>
      </c>
    </row>
    <row r="33" ht="13.5" customHeight="1">
      <c r="A33" s="1" t="s">
        <v>266</v>
      </c>
      <c r="B33" s="1" t="s">
        <v>267</v>
      </c>
      <c r="C33" s="1" t="s">
        <v>268</v>
      </c>
      <c r="D33" s="1" t="s">
        <v>119</v>
      </c>
      <c r="E33" s="1" t="s">
        <v>269</v>
      </c>
      <c r="F33" s="2">
        <v>6.66244886E8</v>
      </c>
      <c r="G33" s="1" t="s">
        <v>270</v>
      </c>
      <c r="H33" s="1"/>
      <c r="I33" s="1" t="s">
        <v>271</v>
      </c>
      <c r="J33" s="1" t="s">
        <v>40</v>
      </c>
      <c r="K33" s="1" t="s">
        <v>272</v>
      </c>
      <c r="L33" s="1"/>
      <c r="M33" s="1"/>
      <c r="N33" s="1" t="s">
        <v>24</v>
      </c>
      <c r="O33" s="1" t="s">
        <v>24</v>
      </c>
    </row>
    <row r="34" ht="13.5" customHeight="1">
      <c r="A34" s="1" t="s">
        <v>273</v>
      </c>
      <c r="B34" s="1" t="s">
        <v>244</v>
      </c>
      <c r="C34" s="1" t="s">
        <v>274</v>
      </c>
      <c r="D34" s="1" t="s">
        <v>18</v>
      </c>
      <c r="E34" s="1" t="s">
        <v>275</v>
      </c>
      <c r="F34" s="2">
        <v>2.5106229E8</v>
      </c>
      <c r="G34" s="1" t="s">
        <v>276</v>
      </c>
      <c r="H34" s="1"/>
      <c r="I34" s="1" t="s">
        <v>276</v>
      </c>
      <c r="J34" s="1" t="s">
        <v>123</v>
      </c>
      <c r="K34" s="1" t="s">
        <v>250</v>
      </c>
      <c r="L34" s="1"/>
      <c r="M34" s="1"/>
      <c r="N34" s="1" t="s">
        <v>24</v>
      </c>
      <c r="O34" s="1" t="s">
        <v>24</v>
      </c>
    </row>
    <row r="35" ht="13.5" customHeight="1">
      <c r="A35" s="1" t="s">
        <v>277</v>
      </c>
      <c r="B35" s="1" t="s">
        <v>278</v>
      </c>
      <c r="C35" s="1" t="s">
        <v>279</v>
      </c>
      <c r="D35" s="1" t="s">
        <v>280</v>
      </c>
      <c r="E35" s="1" t="s">
        <v>281</v>
      </c>
      <c r="F35" s="2">
        <v>4.917632585212E12</v>
      </c>
      <c r="G35" s="1" t="s">
        <v>282</v>
      </c>
      <c r="H35" s="1"/>
      <c r="I35" s="1" t="s">
        <v>283</v>
      </c>
      <c r="J35" s="1" t="s">
        <v>116</v>
      </c>
      <c r="K35" s="1" t="s">
        <v>284</v>
      </c>
      <c r="L35" s="1"/>
      <c r="M35" s="1"/>
      <c r="N35" s="1" t="s">
        <v>24</v>
      </c>
      <c r="O35" s="1" t="s">
        <v>24</v>
      </c>
    </row>
    <row r="36" ht="13.5" customHeight="1">
      <c r="A36" s="1" t="s">
        <v>285</v>
      </c>
      <c r="B36" s="1" t="s">
        <v>286</v>
      </c>
      <c r="C36" s="1" t="s">
        <v>287</v>
      </c>
      <c r="D36" s="1" t="s">
        <v>288</v>
      </c>
      <c r="E36" s="1" t="s">
        <v>289</v>
      </c>
      <c r="F36" s="2">
        <v>3.4651596538E10</v>
      </c>
      <c r="G36" s="1" t="s">
        <v>290</v>
      </c>
      <c r="H36" s="1"/>
      <c r="I36" s="1" t="s">
        <v>291</v>
      </c>
      <c r="J36" s="1" t="s">
        <v>40</v>
      </c>
      <c r="K36" s="1" t="s">
        <v>292</v>
      </c>
      <c r="L36" s="1"/>
      <c r="M36" s="1"/>
      <c r="N36" s="1" t="s">
        <v>24</v>
      </c>
      <c r="O36" s="1" t="s">
        <v>24</v>
      </c>
    </row>
    <row r="37" ht="13.5" customHeight="1">
      <c r="A37" s="1" t="s">
        <v>293</v>
      </c>
      <c r="B37" s="1" t="s">
        <v>294</v>
      </c>
      <c r="C37" s="1" t="s">
        <v>295</v>
      </c>
      <c r="D37" s="1" t="s">
        <v>119</v>
      </c>
      <c r="E37" s="1" t="s">
        <v>296</v>
      </c>
      <c r="F37" s="2"/>
      <c r="G37" s="1" t="s">
        <v>297</v>
      </c>
      <c r="H37" s="1"/>
      <c r="I37" s="1" t="s">
        <v>298</v>
      </c>
      <c r="J37" s="1" t="s">
        <v>40</v>
      </c>
      <c r="K37" s="1" t="s">
        <v>299</v>
      </c>
      <c r="L37" s="1"/>
      <c r="M37" s="1"/>
      <c r="N37" s="1" t="s">
        <v>24</v>
      </c>
      <c r="O37" s="1" t="s">
        <v>24</v>
      </c>
    </row>
    <row r="38" ht="13.5" customHeight="1">
      <c r="A38" s="1" t="s">
        <v>300</v>
      </c>
      <c r="B38" s="1" t="s">
        <v>301</v>
      </c>
      <c r="C38" s="1" t="s">
        <v>302</v>
      </c>
      <c r="D38" s="1" t="s">
        <v>303</v>
      </c>
      <c r="E38" s="1" t="s">
        <v>304</v>
      </c>
      <c r="F38" s="2">
        <v>3.1620873029E10</v>
      </c>
      <c r="G38" s="1" t="s">
        <v>305</v>
      </c>
      <c r="H38" s="1"/>
      <c r="I38" s="1" t="s">
        <v>306</v>
      </c>
      <c r="J38" s="1" t="s">
        <v>207</v>
      </c>
      <c r="K38" s="1" t="s">
        <v>307</v>
      </c>
      <c r="L38" s="1" t="s">
        <v>308</v>
      </c>
      <c r="M38" s="1"/>
      <c r="N38" s="1" t="s">
        <v>24</v>
      </c>
      <c r="O38" s="1" t="s">
        <v>24</v>
      </c>
    </row>
    <row r="39" ht="13.5" customHeight="1">
      <c r="A39" s="1" t="s">
        <v>309</v>
      </c>
      <c r="B39" s="1" t="s">
        <v>310</v>
      </c>
      <c r="C39" s="1" t="s">
        <v>311</v>
      </c>
      <c r="D39" s="1" t="s">
        <v>28</v>
      </c>
      <c r="E39" s="1" t="s">
        <v>312</v>
      </c>
      <c r="F39" s="2">
        <v>3.4747456661E10</v>
      </c>
      <c r="G39" s="1" t="s">
        <v>313</v>
      </c>
      <c r="H39" s="1"/>
      <c r="I39" s="1" t="s">
        <v>314</v>
      </c>
      <c r="J39" s="1" t="s">
        <v>40</v>
      </c>
      <c r="K39" s="1" t="s">
        <v>315</v>
      </c>
      <c r="L39" s="1"/>
      <c r="M39" s="1"/>
      <c r="N39" s="1" t="s">
        <v>24</v>
      </c>
      <c r="O39" s="1" t="s">
        <v>24</v>
      </c>
    </row>
    <row r="40" ht="13.5" customHeight="1">
      <c r="A40" s="1" t="s">
        <v>316</v>
      </c>
      <c r="B40" s="1" t="s">
        <v>317</v>
      </c>
      <c r="C40" s="1" t="s">
        <v>318</v>
      </c>
      <c r="D40" s="1" t="s">
        <v>319</v>
      </c>
      <c r="E40" s="1" t="s">
        <v>320</v>
      </c>
      <c r="F40" s="2">
        <v>4.1553427E7</v>
      </c>
      <c r="G40" s="1" t="s">
        <v>321</v>
      </c>
      <c r="H40" s="1"/>
      <c r="I40" s="1" t="s">
        <v>322</v>
      </c>
      <c r="J40" s="1" t="s">
        <v>264</v>
      </c>
      <c r="K40" s="1" t="s">
        <v>323</v>
      </c>
      <c r="L40" s="1" t="s">
        <v>324</v>
      </c>
      <c r="M40" s="1"/>
      <c r="N40" s="1" t="s">
        <v>24</v>
      </c>
      <c r="O40" s="1" t="s">
        <v>24</v>
      </c>
    </row>
    <row r="41" ht="13.5" customHeight="1">
      <c r="A41" s="1" t="s">
        <v>325</v>
      </c>
      <c r="B41" s="1" t="s">
        <v>326</v>
      </c>
      <c r="C41" s="1" t="s">
        <v>327</v>
      </c>
      <c r="D41" s="1" t="s">
        <v>328</v>
      </c>
      <c r="E41" s="1" t="s">
        <v>329</v>
      </c>
      <c r="F41" s="2">
        <v>6.00241784E8</v>
      </c>
      <c r="G41" s="1" t="s">
        <v>330</v>
      </c>
      <c r="H41" s="1"/>
      <c r="I41" s="1" t="s">
        <v>331</v>
      </c>
      <c r="J41" s="1" t="s">
        <v>40</v>
      </c>
      <c r="K41" s="1" t="s">
        <v>332</v>
      </c>
      <c r="L41" s="1"/>
      <c r="M41" s="1"/>
      <c r="N41" s="1" t="s">
        <v>24</v>
      </c>
      <c r="O41" s="1" t="s">
        <v>24</v>
      </c>
    </row>
    <row r="42" ht="13.5" customHeight="1">
      <c r="A42" s="1" t="s">
        <v>333</v>
      </c>
      <c r="B42" s="1" t="s">
        <v>334</v>
      </c>
      <c r="C42" s="1" t="s">
        <v>335</v>
      </c>
      <c r="D42" s="1" t="s">
        <v>336</v>
      </c>
      <c r="E42" s="1" t="s">
        <v>337</v>
      </c>
      <c r="F42" s="2">
        <v>1.6090118321E10</v>
      </c>
      <c r="G42" s="1" t="s">
        <v>338</v>
      </c>
      <c r="H42" s="1"/>
      <c r="I42" s="1" t="s">
        <v>339</v>
      </c>
      <c r="J42" s="1" t="s">
        <v>116</v>
      </c>
      <c r="K42" s="1"/>
      <c r="L42" s="1"/>
      <c r="M42" s="1"/>
      <c r="N42" s="1" t="s">
        <v>24</v>
      </c>
      <c r="O42" s="1" t="s">
        <v>24</v>
      </c>
    </row>
    <row r="43" ht="13.5" customHeight="1">
      <c r="A43" s="1" t="s">
        <v>340</v>
      </c>
      <c r="B43" s="1" t="s">
        <v>341</v>
      </c>
      <c r="C43" s="1" t="s">
        <v>342</v>
      </c>
      <c r="D43" s="1" t="s">
        <v>343</v>
      </c>
      <c r="E43" s="1" t="s">
        <v>344</v>
      </c>
      <c r="F43" s="2">
        <v>3.4938125572E10</v>
      </c>
      <c r="G43" s="1" t="s">
        <v>345</v>
      </c>
      <c r="H43" s="1"/>
      <c r="I43" s="1" t="s">
        <v>346</v>
      </c>
      <c r="J43" s="1" t="s">
        <v>40</v>
      </c>
      <c r="K43" s="1"/>
      <c r="L43" s="1"/>
      <c r="M43" s="1"/>
      <c r="N43" s="1" t="s">
        <v>24</v>
      </c>
      <c r="O43" s="1" t="s">
        <v>24</v>
      </c>
    </row>
    <row r="44" ht="13.5" customHeight="1">
      <c r="A44" s="1" t="s">
        <v>347</v>
      </c>
      <c r="B44" s="1" t="s">
        <v>348</v>
      </c>
      <c r="C44" s="1" t="s">
        <v>349</v>
      </c>
      <c r="D44" s="1" t="s">
        <v>119</v>
      </c>
      <c r="E44" s="1" t="s">
        <v>350</v>
      </c>
      <c r="F44" s="2">
        <v>4.91773456798E11</v>
      </c>
      <c r="G44" s="1" t="s">
        <v>351</v>
      </c>
      <c r="H44" s="1"/>
      <c r="I44" s="1" t="s">
        <v>352</v>
      </c>
      <c r="J44" s="1" t="s">
        <v>116</v>
      </c>
      <c r="K44" s="1" t="s">
        <v>353</v>
      </c>
      <c r="L44" s="1"/>
      <c r="M44" s="1"/>
      <c r="N44" s="1" t="s">
        <v>24</v>
      </c>
      <c r="O44" s="1" t="s">
        <v>24</v>
      </c>
    </row>
    <row r="45" ht="13.5" customHeight="1">
      <c r="A45" s="1" t="s">
        <v>354</v>
      </c>
      <c r="B45" s="1" t="s">
        <v>355</v>
      </c>
      <c r="C45" s="1" t="s">
        <v>356</v>
      </c>
      <c r="D45" s="1" t="s">
        <v>357</v>
      </c>
      <c r="E45" s="1" t="s">
        <v>358</v>
      </c>
      <c r="F45" s="2">
        <v>6.1042488E8</v>
      </c>
      <c r="G45" s="1" t="s">
        <v>359</v>
      </c>
      <c r="H45" s="1"/>
      <c r="I45" s="1" t="s">
        <v>175</v>
      </c>
      <c r="J45" s="1" t="s">
        <v>40</v>
      </c>
      <c r="K45" s="1" t="s">
        <v>360</v>
      </c>
      <c r="L45" s="1"/>
      <c r="M45" s="1"/>
      <c r="N45" s="1" t="s">
        <v>24</v>
      </c>
      <c r="O45" s="1" t="s">
        <v>24</v>
      </c>
    </row>
    <row r="46" ht="13.5" customHeight="1">
      <c r="A46" s="1" t="s">
        <v>361</v>
      </c>
      <c r="B46" s="1" t="s">
        <v>362</v>
      </c>
      <c r="C46" s="1" t="s">
        <v>363</v>
      </c>
      <c r="D46" s="1" t="s">
        <v>364</v>
      </c>
      <c r="E46" s="1" t="s">
        <v>365</v>
      </c>
      <c r="F46" s="2">
        <v>1.722854465E9</v>
      </c>
      <c r="G46" s="1" t="s">
        <v>366</v>
      </c>
      <c r="H46" s="1" t="s">
        <v>367</v>
      </c>
      <c r="I46" s="1" t="s">
        <v>368</v>
      </c>
      <c r="J46" s="1" t="s">
        <v>116</v>
      </c>
      <c r="K46" s="1"/>
      <c r="L46" s="1"/>
      <c r="M46" s="1"/>
      <c r="N46" s="1" t="s">
        <v>24</v>
      </c>
      <c r="O46" s="1" t="s">
        <v>24</v>
      </c>
    </row>
    <row r="47" ht="13.5" customHeight="1">
      <c r="A47" s="1" t="s">
        <v>369</v>
      </c>
      <c r="B47" s="1" t="s">
        <v>108</v>
      </c>
      <c r="C47" s="1" t="s">
        <v>370</v>
      </c>
      <c r="D47" s="1" t="s">
        <v>371</v>
      </c>
      <c r="E47" s="1" t="s">
        <v>372</v>
      </c>
      <c r="F47" s="2">
        <v>3.3669588985E10</v>
      </c>
      <c r="G47" s="1" t="s">
        <v>373</v>
      </c>
      <c r="H47" s="1" t="s">
        <v>374</v>
      </c>
      <c r="I47" s="1" t="s">
        <v>375</v>
      </c>
      <c r="J47" s="1" t="s">
        <v>123</v>
      </c>
      <c r="K47" s="1" t="s">
        <v>376</v>
      </c>
      <c r="L47" s="1"/>
      <c r="M47" s="1"/>
      <c r="N47" s="1" t="s">
        <v>24</v>
      </c>
      <c r="O47" s="1" t="s">
        <v>24</v>
      </c>
    </row>
    <row r="48" ht="13.5" customHeight="1">
      <c r="A48" s="1" t="s">
        <v>377</v>
      </c>
      <c r="B48" s="1" t="s">
        <v>378</v>
      </c>
      <c r="C48" s="1" t="s">
        <v>379</v>
      </c>
      <c r="D48" s="1" t="s">
        <v>380</v>
      </c>
      <c r="E48" s="1" t="s">
        <v>381</v>
      </c>
      <c r="F48" s="2">
        <v>6.35540159E8</v>
      </c>
      <c r="G48" s="1" t="s">
        <v>382</v>
      </c>
      <c r="H48" s="1"/>
      <c r="I48" s="1" t="s">
        <v>383</v>
      </c>
      <c r="J48" s="1" t="s">
        <v>40</v>
      </c>
      <c r="K48" s="1" t="s">
        <v>384</v>
      </c>
      <c r="L48" s="1"/>
      <c r="M48" s="1"/>
      <c r="N48" s="1" t="s">
        <v>24</v>
      </c>
      <c r="O48" s="1" t="s">
        <v>24</v>
      </c>
    </row>
    <row r="49" ht="13.5" customHeight="1">
      <c r="A49" s="1" t="s">
        <v>385</v>
      </c>
      <c r="B49" s="1" t="s">
        <v>386</v>
      </c>
      <c r="C49" s="1" t="s">
        <v>387</v>
      </c>
      <c r="D49" s="1" t="s">
        <v>388</v>
      </c>
      <c r="E49" s="1" t="s">
        <v>389</v>
      </c>
      <c r="F49" s="2">
        <v>3.93488908722E11</v>
      </c>
      <c r="G49" s="1" t="s">
        <v>390</v>
      </c>
      <c r="H49" s="1"/>
      <c r="I49" s="1" t="s">
        <v>391</v>
      </c>
      <c r="J49" s="1" t="s">
        <v>49</v>
      </c>
      <c r="K49" s="1" t="s">
        <v>392</v>
      </c>
      <c r="L49" s="1" t="s">
        <v>393</v>
      </c>
      <c r="M49" s="1"/>
      <c r="N49" s="1" t="s">
        <v>24</v>
      </c>
      <c r="O49" s="1" t="s">
        <v>24</v>
      </c>
    </row>
    <row r="50" ht="13.5" customHeight="1">
      <c r="A50" s="1" t="s">
        <v>394</v>
      </c>
      <c r="B50" s="1" t="s">
        <v>395</v>
      </c>
      <c r="C50" s="1" t="s">
        <v>396</v>
      </c>
      <c r="D50" s="1" t="s">
        <v>397</v>
      </c>
      <c r="E50" s="1" t="s">
        <v>398</v>
      </c>
      <c r="F50" s="2">
        <v>6.84976782E8</v>
      </c>
      <c r="G50" s="1" t="s">
        <v>399</v>
      </c>
      <c r="H50" s="1"/>
      <c r="I50" s="1" t="s">
        <v>400</v>
      </c>
      <c r="J50" s="1" t="s">
        <v>123</v>
      </c>
      <c r="K50" s="1" t="s">
        <v>401</v>
      </c>
      <c r="L50" s="1"/>
      <c r="M50" s="1"/>
      <c r="N50" s="1" t="s">
        <v>24</v>
      </c>
      <c r="O50" s="1" t="s">
        <v>24</v>
      </c>
    </row>
    <row r="51" ht="13.5" customHeight="1">
      <c r="A51" s="1" t="s">
        <v>402</v>
      </c>
      <c r="B51" s="1" t="s">
        <v>403</v>
      </c>
      <c r="C51" s="1" t="s">
        <v>404</v>
      </c>
      <c r="D51" s="1" t="s">
        <v>405</v>
      </c>
      <c r="E51" s="1" t="s">
        <v>406</v>
      </c>
      <c r="F51" s="2">
        <v>4.7628866E8</v>
      </c>
      <c r="G51" s="1" t="s">
        <v>407</v>
      </c>
      <c r="H51" s="1"/>
      <c r="I51" s="1" t="s">
        <v>408</v>
      </c>
      <c r="J51" s="1" t="s">
        <v>409</v>
      </c>
      <c r="K51" s="1" t="s">
        <v>410</v>
      </c>
      <c r="L51" s="1" t="s">
        <v>411</v>
      </c>
      <c r="M51" s="1"/>
      <c r="N51" s="1" t="s">
        <v>24</v>
      </c>
      <c r="O51" s="1" t="s">
        <v>24</v>
      </c>
    </row>
    <row r="52" ht="13.5" customHeight="1">
      <c r="A52" s="1" t="s">
        <v>412</v>
      </c>
      <c r="B52" s="1" t="s">
        <v>413</v>
      </c>
      <c r="C52" s="1" t="s">
        <v>414</v>
      </c>
      <c r="D52" s="1" t="s">
        <v>415</v>
      </c>
      <c r="E52" s="1" t="s">
        <v>416</v>
      </c>
      <c r="F52" s="2">
        <v>4.6765808482E10</v>
      </c>
      <c r="G52" s="1" t="s">
        <v>417</v>
      </c>
      <c r="H52" s="1"/>
      <c r="I52" s="1" t="s">
        <v>418</v>
      </c>
      <c r="J52" s="1" t="s">
        <v>106</v>
      </c>
      <c r="K52" s="1" t="s">
        <v>419</v>
      </c>
      <c r="L52" s="1"/>
      <c r="M52" s="1"/>
      <c r="N52" s="1" t="s">
        <v>24</v>
      </c>
      <c r="O52" s="1" t="s">
        <v>24</v>
      </c>
    </row>
    <row r="53" ht="13.5" customHeight="1">
      <c r="A53" s="1" t="s">
        <v>420</v>
      </c>
      <c r="B53" s="1" t="s">
        <v>421</v>
      </c>
      <c r="C53" s="1" t="s">
        <v>422</v>
      </c>
      <c r="D53" s="1" t="s">
        <v>423</v>
      </c>
      <c r="E53" s="1" t="s">
        <v>424</v>
      </c>
      <c r="F53" s="2">
        <v>3.3607197963E10</v>
      </c>
      <c r="G53" s="1" t="s">
        <v>425</v>
      </c>
      <c r="H53" s="1"/>
      <c r="I53" s="1" t="s">
        <v>426</v>
      </c>
      <c r="J53" s="1" t="s">
        <v>123</v>
      </c>
      <c r="K53" s="1" t="s">
        <v>427</v>
      </c>
      <c r="L53" s="1"/>
      <c r="M53" s="1"/>
      <c r="N53" s="1" t="s">
        <v>24</v>
      </c>
      <c r="O53" s="1" t="s">
        <v>24</v>
      </c>
    </row>
    <row r="54" ht="13.5" customHeight="1">
      <c r="A54" s="3" t="s">
        <v>42</v>
      </c>
      <c r="B54" s="3" t="s">
        <v>43</v>
      </c>
      <c r="C54" s="3" t="s">
        <v>428</v>
      </c>
      <c r="D54" s="1"/>
      <c r="E54" s="1"/>
      <c r="F54" s="2">
        <f>39330265133</f>
        <v>39330265133</v>
      </c>
      <c r="G54" s="1"/>
      <c r="H54" s="1"/>
      <c r="I54" s="1"/>
      <c r="J54" s="3" t="s">
        <v>49</v>
      </c>
      <c r="K54" s="1"/>
      <c r="L54" s="1"/>
      <c r="M54" s="1"/>
      <c r="N54" s="1"/>
      <c r="O54" s="1"/>
    </row>
    <row r="55" ht="13.5" customHeight="1">
      <c r="A55" s="3" t="s">
        <v>429</v>
      </c>
      <c r="B55" s="3" t="s">
        <v>430</v>
      </c>
      <c r="C55" s="3" t="s">
        <v>431</v>
      </c>
      <c r="D55" s="1"/>
      <c r="E55" s="1"/>
      <c r="F55" s="4">
        <f>33682678796</f>
        <v>33682678796</v>
      </c>
      <c r="G55" s="1"/>
      <c r="H55" s="1"/>
      <c r="I55" s="1"/>
      <c r="J55" s="3" t="s">
        <v>123</v>
      </c>
      <c r="K55" s="1"/>
      <c r="L55" s="1"/>
      <c r="M55" s="1"/>
      <c r="N55" s="1"/>
      <c r="O55" s="1"/>
    </row>
    <row r="56" ht="13.5" customHeight="1">
      <c r="A56" s="3" t="s">
        <v>432</v>
      </c>
      <c r="B56" s="3" t="s">
        <v>433</v>
      </c>
      <c r="C56" s="3" t="s">
        <v>434</v>
      </c>
      <c r="D56" s="1"/>
      <c r="E56" s="1"/>
      <c r="F56" s="4">
        <f>393928282864</f>
        <v>393928282864</v>
      </c>
      <c r="G56" s="1"/>
      <c r="H56" s="1"/>
      <c r="I56" s="1"/>
      <c r="J56" s="3" t="s">
        <v>49</v>
      </c>
      <c r="K56" s="1"/>
      <c r="L56" s="1"/>
      <c r="M56" s="1"/>
      <c r="N56" s="1"/>
      <c r="O56" s="1"/>
    </row>
    <row r="57" ht="13.5" customHeight="1">
      <c r="A57" s="3" t="s">
        <v>435</v>
      </c>
      <c r="B57" s="3" t="s">
        <v>436</v>
      </c>
      <c r="C57" s="5" t="s">
        <v>437</v>
      </c>
      <c r="D57" s="1"/>
      <c r="E57" s="1"/>
      <c r="F57" s="4">
        <f>491714757332</f>
        <v>491714757332</v>
      </c>
      <c r="G57" s="1"/>
      <c r="H57" s="1"/>
      <c r="I57" s="1"/>
      <c r="J57" s="3" t="s">
        <v>116</v>
      </c>
      <c r="K57" s="1"/>
      <c r="L57" s="1"/>
      <c r="M57" s="1"/>
      <c r="N57" s="1"/>
      <c r="O57" s="1"/>
    </row>
    <row r="58" ht="13.5" customHeight="1">
      <c r="A58" s="3" t="s">
        <v>438</v>
      </c>
      <c r="B58" s="6"/>
      <c r="C58" s="7"/>
      <c r="D58" s="1"/>
      <c r="E58" s="1"/>
      <c r="F58" s="4">
        <f>33652784210</f>
        <v>33652784210</v>
      </c>
      <c r="G58" s="1"/>
      <c r="H58" s="1"/>
      <c r="I58" s="1"/>
      <c r="J58" s="3" t="s">
        <v>123</v>
      </c>
      <c r="K58" s="1"/>
      <c r="L58" s="1"/>
      <c r="M58" s="1"/>
      <c r="N58" s="1"/>
      <c r="O58" s="1"/>
    </row>
    <row r="59" ht="13.5" customHeight="1">
      <c r="A59" s="6"/>
      <c r="B59" s="6"/>
      <c r="C59" s="8" t="s">
        <v>439</v>
      </c>
      <c r="D59" s="1"/>
      <c r="E59" s="1"/>
      <c r="F59" s="4">
        <f>34679133104</f>
        <v>34679133104</v>
      </c>
      <c r="G59" s="1"/>
      <c r="H59" s="1"/>
      <c r="I59" s="1"/>
      <c r="J59" s="3" t="s">
        <v>40</v>
      </c>
      <c r="K59" s="1"/>
      <c r="L59" s="1"/>
      <c r="M59" s="1"/>
      <c r="N59" s="1"/>
      <c r="O59" s="1"/>
    </row>
    <row r="60" ht="13.5" customHeight="1">
      <c r="A60" s="3" t="s">
        <v>440</v>
      </c>
      <c r="B60" s="3" t="s">
        <v>441</v>
      </c>
      <c r="C60" s="7"/>
      <c r="D60" s="1"/>
      <c r="E60" s="1"/>
      <c r="F60" s="4">
        <f>351962451684</f>
        <v>351962451684</v>
      </c>
      <c r="G60" s="1"/>
      <c r="H60" s="1"/>
      <c r="I60" s="1"/>
      <c r="J60" s="3" t="s">
        <v>232</v>
      </c>
      <c r="K60" s="1"/>
      <c r="L60" s="1"/>
      <c r="M60" s="1"/>
      <c r="N60" s="1"/>
      <c r="O60" s="1"/>
    </row>
    <row r="61" ht="13.5" customHeight="1">
      <c r="A61" s="3" t="s">
        <v>442</v>
      </c>
      <c r="B61" s="3" t="s">
        <v>443</v>
      </c>
      <c r="C61" s="7"/>
      <c r="D61" s="1"/>
      <c r="E61" s="1"/>
      <c r="F61" s="4">
        <f>306978000044</f>
        <v>306978000044</v>
      </c>
      <c r="G61" s="1"/>
      <c r="H61" s="1"/>
      <c r="I61" s="1"/>
      <c r="J61" s="3" t="s">
        <v>58</v>
      </c>
      <c r="K61" s="1"/>
      <c r="L61" s="1"/>
      <c r="M61" s="1"/>
      <c r="N61" s="1"/>
      <c r="O61" s="1"/>
    </row>
    <row r="62" ht="13.5" customHeight="1">
      <c r="A62" s="3" t="s">
        <v>444</v>
      </c>
      <c r="B62" s="6"/>
      <c r="C62" s="8" t="s">
        <v>445</v>
      </c>
      <c r="D62" s="1"/>
      <c r="E62" s="1"/>
      <c r="F62" s="4">
        <f>48722103615</f>
        <v>48722103615</v>
      </c>
      <c r="G62" s="1"/>
      <c r="H62" s="1"/>
      <c r="I62" s="1"/>
      <c r="J62" s="3" t="s">
        <v>160</v>
      </c>
      <c r="K62" s="1"/>
      <c r="L62" s="1"/>
      <c r="M62" s="1"/>
      <c r="N62" s="1"/>
      <c r="O62" s="1"/>
    </row>
    <row r="63" ht="13.5" customHeight="1">
      <c r="A63" s="3" t="s">
        <v>446</v>
      </c>
      <c r="B63" s="3" t="s">
        <v>447</v>
      </c>
      <c r="C63" s="7"/>
      <c r="D63" s="1"/>
      <c r="E63" s="1"/>
      <c r="F63" s="4">
        <f>33618892571</f>
        <v>33618892571</v>
      </c>
      <c r="G63" s="1"/>
      <c r="H63" s="1"/>
      <c r="I63" s="1"/>
      <c r="J63" s="3" t="s">
        <v>123</v>
      </c>
      <c r="K63" s="1"/>
      <c r="L63" s="1"/>
      <c r="M63" s="1"/>
      <c r="N63" s="1"/>
      <c r="O63" s="1"/>
    </row>
    <row r="64" ht="13.5" customHeight="1">
      <c r="A64" s="3" t="s">
        <v>448</v>
      </c>
      <c r="B64" s="3" t="s">
        <v>436</v>
      </c>
      <c r="C64" s="9" t="s">
        <v>449</v>
      </c>
      <c r="D64" s="3" t="s">
        <v>450</v>
      </c>
      <c r="E64" s="3" t="s">
        <v>451</v>
      </c>
      <c r="F64" s="4">
        <f>496164516844</f>
        <v>496164516844</v>
      </c>
      <c r="G64" s="3" t="s">
        <v>452</v>
      </c>
      <c r="H64" s="1"/>
      <c r="I64" s="10" t="s">
        <v>453</v>
      </c>
      <c r="J64" s="3" t="s">
        <v>116</v>
      </c>
      <c r="K64" s="1"/>
      <c r="L64" s="1"/>
      <c r="M64" s="1"/>
      <c r="N64" s="1"/>
      <c r="O64" s="1"/>
    </row>
    <row r="65" ht="13.5" customHeight="1">
      <c r="A65" s="3" t="s">
        <v>454</v>
      </c>
      <c r="B65" s="3" t="s">
        <v>455</v>
      </c>
      <c r="C65" s="11" t="s">
        <v>456</v>
      </c>
      <c r="D65" s="3" t="s">
        <v>457</v>
      </c>
      <c r="E65" s="3" t="s">
        <v>458</v>
      </c>
      <c r="F65" s="4">
        <f>34658761853</f>
        <v>34658761853</v>
      </c>
      <c r="G65" s="6"/>
      <c r="H65" s="1"/>
      <c r="I65" s="6"/>
      <c r="J65" s="3" t="s">
        <v>40</v>
      </c>
      <c r="K65" s="1"/>
      <c r="L65" s="1"/>
      <c r="M65" s="1"/>
      <c r="N65" s="1"/>
      <c r="O65" s="1"/>
    </row>
    <row r="66" ht="13.5" customHeight="1">
      <c r="A66" s="3" t="s">
        <v>459</v>
      </c>
      <c r="B66" s="3" t="s">
        <v>460</v>
      </c>
      <c r="C66" s="11" t="s">
        <v>461</v>
      </c>
      <c r="D66" s="12" t="s">
        <v>462</v>
      </c>
      <c r="E66" s="3" t="s">
        <v>463</v>
      </c>
      <c r="F66" s="4">
        <f>40722638557</f>
        <v>40722638557</v>
      </c>
      <c r="G66" s="13" t="s">
        <v>464</v>
      </c>
      <c r="H66" s="1"/>
      <c r="I66" s="6"/>
      <c r="J66" s="3" t="s">
        <v>465</v>
      </c>
      <c r="K66" s="1"/>
      <c r="L66" s="1"/>
      <c r="M66" s="1"/>
      <c r="N66" s="1"/>
      <c r="O66" s="1"/>
    </row>
    <row r="67" ht="13.5" customHeight="1">
      <c r="A67" s="6"/>
      <c r="B67" s="6"/>
      <c r="C67" s="11" t="s">
        <v>466</v>
      </c>
      <c r="D67" s="14"/>
      <c r="E67" s="3" t="s">
        <v>467</v>
      </c>
      <c r="F67" s="4">
        <f>421951350734</f>
        <v>421951350734</v>
      </c>
      <c r="G67" s="13" t="s">
        <v>468</v>
      </c>
      <c r="H67" s="1"/>
      <c r="I67" s="6"/>
      <c r="J67" s="3" t="s">
        <v>469</v>
      </c>
      <c r="K67" s="1"/>
      <c r="L67" s="1"/>
      <c r="M67" s="1"/>
      <c r="N67" s="1"/>
      <c r="O67" s="1"/>
    </row>
    <row r="68" ht="13.5" customHeight="1">
      <c r="A68" s="3" t="s">
        <v>470</v>
      </c>
      <c r="B68" s="3" t="s">
        <v>471</v>
      </c>
      <c r="C68" s="11" t="s">
        <v>236</v>
      </c>
      <c r="D68" s="14"/>
      <c r="E68" s="3" t="s">
        <v>472</v>
      </c>
      <c r="F68" s="4">
        <f>393472337637</f>
        <v>393472337637</v>
      </c>
      <c r="G68" s="13" t="s">
        <v>473</v>
      </c>
      <c r="H68" s="1"/>
      <c r="I68" s="6"/>
      <c r="J68" s="3" t="s">
        <v>49</v>
      </c>
      <c r="K68" s="1"/>
      <c r="L68" s="1"/>
      <c r="M68" s="1"/>
      <c r="N68" s="1"/>
      <c r="O68" s="1"/>
    </row>
    <row r="69" ht="13.5" customHeight="1">
      <c r="A69" s="3" t="s">
        <v>474</v>
      </c>
      <c r="B69" s="3" t="s">
        <v>475</v>
      </c>
      <c r="C69" s="9" t="s">
        <v>476</v>
      </c>
      <c r="D69" s="14"/>
      <c r="E69" s="3" t="s">
        <v>477</v>
      </c>
      <c r="F69" s="4">
        <f>330616332688</f>
        <v>330616332688</v>
      </c>
      <c r="G69" s="10" t="s">
        <v>478</v>
      </c>
      <c r="H69" s="1"/>
      <c r="I69" s="6"/>
      <c r="J69" s="3" t="s">
        <v>123</v>
      </c>
      <c r="K69" s="1"/>
      <c r="L69" s="1"/>
      <c r="M69" s="1"/>
      <c r="N69" s="1"/>
      <c r="O69" s="1"/>
    </row>
    <row r="70" ht="13.5" customHeight="1">
      <c r="A70" s="3" t="s">
        <v>479</v>
      </c>
      <c r="B70" s="3" t="s">
        <v>480</v>
      </c>
      <c r="C70" s="9" t="s">
        <v>481</v>
      </c>
      <c r="D70" s="12" t="s">
        <v>482</v>
      </c>
      <c r="E70" s="3" t="s">
        <v>483</v>
      </c>
      <c r="F70" s="4">
        <f>8613533488649</f>
        <v>8613533488649</v>
      </c>
      <c r="G70" s="15" t="s">
        <v>484</v>
      </c>
      <c r="H70" s="1"/>
      <c r="I70" s="6"/>
      <c r="J70" s="3" t="s">
        <v>485</v>
      </c>
      <c r="K70" s="1"/>
      <c r="L70" s="1"/>
      <c r="M70" s="1"/>
      <c r="N70" s="1"/>
      <c r="O70" s="1"/>
    </row>
    <row r="71" ht="13.5" customHeight="1">
      <c r="A71" s="6"/>
      <c r="B71" s="6"/>
      <c r="C71" s="11" t="s">
        <v>486</v>
      </c>
      <c r="D71" s="14"/>
      <c r="E71" s="3" t="s">
        <v>487</v>
      </c>
      <c r="F71" s="4">
        <f>393894343692</f>
        <v>393894343692</v>
      </c>
      <c r="G71" s="10" t="s">
        <v>488</v>
      </c>
      <c r="H71" s="1"/>
      <c r="I71" s="6"/>
      <c r="J71" s="3" t="s">
        <v>49</v>
      </c>
      <c r="K71" s="1"/>
      <c r="L71" s="1"/>
      <c r="M71" s="1"/>
      <c r="N71" s="1"/>
      <c r="O71" s="1"/>
    </row>
    <row r="72" ht="13.5" customHeight="1">
      <c r="A72" s="3" t="s">
        <v>489</v>
      </c>
      <c r="B72" s="3" t="s">
        <v>490</v>
      </c>
      <c r="C72" s="16"/>
      <c r="D72" s="12" t="s">
        <v>491</v>
      </c>
      <c r="E72" s="3" t="s">
        <v>492</v>
      </c>
      <c r="F72" s="4">
        <f>34687546094</f>
        <v>34687546094</v>
      </c>
      <c r="G72" s="6"/>
      <c r="H72" s="1"/>
      <c r="I72" s="6"/>
      <c r="J72" s="3" t="s">
        <v>40</v>
      </c>
      <c r="K72" s="1"/>
      <c r="L72" s="1"/>
      <c r="M72" s="1"/>
      <c r="N72" s="1"/>
      <c r="O72" s="1"/>
    </row>
    <row r="73" ht="13.5" customHeight="1">
      <c r="A73" s="3" t="s">
        <v>493</v>
      </c>
      <c r="B73" s="3" t="s">
        <v>494</v>
      </c>
      <c r="C73" s="11" t="s">
        <v>495</v>
      </c>
      <c r="D73" s="12" t="s">
        <v>496</v>
      </c>
      <c r="E73" s="3" t="s">
        <v>497</v>
      </c>
      <c r="F73" s="4">
        <f>34971430586</f>
        <v>34971430586</v>
      </c>
      <c r="G73" s="10" t="s">
        <v>498</v>
      </c>
      <c r="H73" s="1"/>
      <c r="I73" s="6"/>
      <c r="J73" s="3" t="s">
        <v>40</v>
      </c>
      <c r="K73" s="1"/>
      <c r="L73" s="1"/>
      <c r="M73" s="1"/>
      <c r="N73" s="1"/>
      <c r="O73" s="1"/>
    </row>
    <row r="74" ht="13.5" customHeight="1">
      <c r="A74" s="3" t="s">
        <v>499</v>
      </c>
      <c r="B74" s="3" t="s">
        <v>500</v>
      </c>
      <c r="C74" s="11" t="s">
        <v>501</v>
      </c>
      <c r="D74" s="12" t="s">
        <v>502</v>
      </c>
      <c r="E74" s="3" t="s">
        <v>503</v>
      </c>
      <c r="F74" s="4">
        <f>393334806272</f>
        <v>393334806272</v>
      </c>
      <c r="G74" s="6"/>
      <c r="H74" s="1"/>
      <c r="I74" s="6"/>
      <c r="J74" s="3" t="s">
        <v>49</v>
      </c>
      <c r="K74" s="1"/>
      <c r="L74" s="1"/>
      <c r="M74" s="1"/>
      <c r="N74" s="1"/>
      <c r="O74" s="1"/>
    </row>
    <row r="75" ht="13.5" customHeight="1">
      <c r="A75" s="6"/>
      <c r="B75" s="6"/>
      <c r="C75" s="11" t="s">
        <v>504</v>
      </c>
      <c r="D75" s="14"/>
      <c r="E75" s="15" t="s">
        <v>505</v>
      </c>
      <c r="F75" s="17">
        <v>1.638661833E9</v>
      </c>
      <c r="G75" s="6"/>
      <c r="H75" s="1"/>
      <c r="I75" s="6"/>
      <c r="J75" s="3" t="s">
        <v>506</v>
      </c>
      <c r="K75" s="1"/>
      <c r="L75" s="1"/>
      <c r="M75" s="1"/>
      <c r="N75" s="1"/>
      <c r="O75" s="1"/>
    </row>
    <row r="76" ht="13.5" customHeight="1">
      <c r="A76" s="3" t="s">
        <v>507</v>
      </c>
      <c r="B76" s="3" t="s">
        <v>508</v>
      </c>
      <c r="C76" s="9" t="s">
        <v>509</v>
      </c>
      <c r="D76" s="12" t="s">
        <v>510</v>
      </c>
      <c r="E76" s="15" t="s">
        <v>511</v>
      </c>
      <c r="F76" s="18">
        <f>41793345351</f>
        <v>41793345351</v>
      </c>
      <c r="G76" s="3" t="s">
        <v>512</v>
      </c>
      <c r="H76" s="1"/>
      <c r="I76" s="6"/>
      <c r="J76" s="3" t="s">
        <v>513</v>
      </c>
      <c r="K76" s="1"/>
      <c r="L76" s="1"/>
      <c r="M76" s="1"/>
      <c r="N76" s="1"/>
      <c r="O76" s="1"/>
    </row>
    <row r="77" ht="13.5" customHeight="1">
      <c r="A77" s="3" t="s">
        <v>514</v>
      </c>
      <c r="B77" s="3" t="s">
        <v>515</v>
      </c>
      <c r="C77" s="9" t="s">
        <v>516</v>
      </c>
      <c r="D77" s="14"/>
      <c r="E77" s="15" t="s">
        <v>517</v>
      </c>
      <c r="F77" s="17">
        <v>1.776666318E9</v>
      </c>
      <c r="G77" s="6"/>
      <c r="H77" s="1"/>
      <c r="I77" s="6"/>
      <c r="J77" s="3" t="s">
        <v>518</v>
      </c>
      <c r="K77" s="1"/>
      <c r="L77" s="1"/>
      <c r="M77" s="1"/>
      <c r="N77" s="1"/>
      <c r="O77" s="1"/>
    </row>
    <row r="78" ht="13.5" customHeight="1">
      <c r="A78" s="3" t="s">
        <v>519</v>
      </c>
      <c r="B78" s="6"/>
      <c r="C78" s="19"/>
      <c r="D78" s="14"/>
      <c r="E78" s="15" t="s">
        <v>29</v>
      </c>
      <c r="F78" s="18"/>
      <c r="G78" s="6"/>
      <c r="H78" s="1"/>
      <c r="I78" s="6"/>
      <c r="J78" s="6"/>
      <c r="K78" s="1"/>
      <c r="L78" s="1"/>
      <c r="M78" s="1"/>
      <c r="N78" s="1"/>
      <c r="O78" s="1"/>
    </row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hyperlinks>
    <hyperlink r:id="rId1" ref="C57"/>
    <hyperlink r:id="rId2" ref="C64"/>
    <hyperlink r:id="rId3" ref="C69"/>
    <hyperlink r:id="rId4" ref="C70"/>
    <hyperlink r:id="rId5" ref="C76"/>
    <hyperlink r:id="rId6" ref="C77"/>
  </hyperlinks>
  <printOptions/>
  <pageMargins bottom="1.0" footer="0.0" header="0.0" left="0.75" right="0.75" top="1.0"/>
  <pageSetup orientation="landscape"/>
  <drawing r:id="rId7"/>
  <tableParts count="1">
    <tablePart r:id="rId9"/>
  </tableParts>
</worksheet>
</file>